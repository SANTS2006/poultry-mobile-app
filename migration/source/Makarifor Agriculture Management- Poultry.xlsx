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52995142bf76f48/Desktop/"/>
    </mc:Choice>
  </mc:AlternateContent>
  <xr:revisionPtr revIDLastSave="0" documentId="8_{0A558AC2-EB8F-1A40-8FCF-4865C9A51A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Egg Report" sheetId="1" r:id="rId1"/>
    <sheet name="Sheet1" sheetId="5" r:id="rId2"/>
    <sheet name="Sheet2" sheetId="3" r:id="rId3"/>
    <sheet name="Expenditure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5" l="1"/>
  <c r="AB26" i="5"/>
  <c r="AC26" i="5"/>
  <c r="AB27" i="5"/>
  <c r="AC27" i="5"/>
  <c r="AB28" i="5"/>
  <c r="AC28" i="5"/>
  <c r="AB29" i="5"/>
  <c r="J37" i="5"/>
  <c r="J36" i="5"/>
  <c r="J34" i="5"/>
  <c r="J32" i="5"/>
  <c r="J31" i="5"/>
  <c r="AC25" i="5"/>
  <c r="AB25" i="5"/>
  <c r="AB24" i="5"/>
  <c r="AC23" i="5"/>
  <c r="AB23" i="5"/>
  <c r="AC22" i="5"/>
  <c r="AB22" i="5"/>
  <c r="AB21" i="5"/>
  <c r="AB20" i="5"/>
  <c r="AB14" i="5"/>
  <c r="AB13" i="5"/>
  <c r="AB12" i="5"/>
  <c r="AB11" i="5"/>
  <c r="AB10" i="5"/>
  <c r="AB9" i="5"/>
  <c r="AC8" i="5"/>
  <c r="AB8" i="5"/>
  <c r="AB7" i="5"/>
  <c r="AB6" i="5"/>
  <c r="AB5" i="5"/>
  <c r="AA41" i="5"/>
  <c r="R41" i="5"/>
  <c r="L41" i="5"/>
  <c r="J41" i="5"/>
  <c r="E41" i="5"/>
  <c r="AG40" i="1"/>
  <c r="AH40" i="1"/>
  <c r="AI40" i="1"/>
  <c r="AJ40" i="1"/>
  <c r="AK40" i="1"/>
  <c r="AL40" i="1"/>
  <c r="AM40" i="1"/>
  <c r="AN40" i="1"/>
  <c r="AO40" i="1"/>
  <c r="AP40" i="1"/>
  <c r="AQ40" i="1"/>
  <c r="AR40" i="1"/>
  <c r="T40" i="5"/>
  <c r="E36" i="5"/>
  <c r="AG39" i="1"/>
  <c r="AH39" i="1"/>
  <c r="AI39" i="1"/>
  <c r="AJ39" i="1"/>
  <c r="AK39" i="1"/>
  <c r="AL39" i="1"/>
  <c r="AM39" i="1"/>
  <c r="AN39" i="1"/>
  <c r="AO39" i="1"/>
  <c r="AP39" i="1"/>
  <c r="AQ39" i="1"/>
  <c r="AR39" i="1"/>
  <c r="E40" i="5"/>
  <c r="Z39" i="5"/>
  <c r="V39" i="5"/>
  <c r="L39" i="5"/>
  <c r="E39" i="5"/>
  <c r="T38" i="5"/>
  <c r="AA38" i="5"/>
  <c r="J38" i="5"/>
  <c r="E38" i="5"/>
  <c r="Z37" i="5"/>
  <c r="AA37" i="5"/>
  <c r="E37" i="5"/>
  <c r="V35" i="5"/>
  <c r="T35" i="5"/>
  <c r="J35" i="5"/>
  <c r="E35" i="5"/>
  <c r="AA34" i="5"/>
  <c r="E34" i="5"/>
  <c r="AA33" i="5"/>
  <c r="J33" i="5"/>
  <c r="E33" i="5"/>
  <c r="T32" i="5"/>
  <c r="AA32" i="5"/>
  <c r="E32" i="5"/>
  <c r="Z31" i="5"/>
  <c r="E31" i="5"/>
  <c r="T30" i="5"/>
  <c r="AA30" i="5"/>
  <c r="J30" i="5"/>
  <c r="E30" i="5"/>
  <c r="Z29" i="5"/>
  <c r="AA29" i="5"/>
  <c r="AC29" i="5"/>
  <c r="R29" i="5"/>
  <c r="E29" i="5"/>
  <c r="L28" i="5"/>
  <c r="AA28" i="5"/>
  <c r="J28" i="5"/>
  <c r="E28" i="5"/>
  <c r="AA27" i="5"/>
  <c r="J27" i="5"/>
  <c r="E27" i="5"/>
  <c r="T26" i="5"/>
  <c r="AA26" i="5"/>
  <c r="E26" i="5"/>
  <c r="J25" i="5"/>
  <c r="E25" i="5"/>
  <c r="Z24" i="5"/>
  <c r="AA24" i="5"/>
  <c r="E24" i="5"/>
  <c r="L23" i="5"/>
  <c r="AA23" i="5"/>
  <c r="J23" i="5"/>
  <c r="E23" i="5"/>
  <c r="V22" i="5"/>
  <c r="T22" i="5"/>
  <c r="J22" i="5"/>
  <c r="E22" i="5"/>
  <c r="J21" i="5"/>
  <c r="E21" i="5"/>
  <c r="V20" i="5"/>
  <c r="R20" i="5"/>
  <c r="L20" i="5"/>
  <c r="J20" i="5"/>
  <c r="E20" i="5"/>
  <c r="J19" i="5"/>
  <c r="AA18" i="5"/>
  <c r="J18" i="5"/>
  <c r="E18" i="5"/>
  <c r="AA17" i="5"/>
  <c r="J17" i="5"/>
  <c r="E17" i="5"/>
  <c r="E16" i="5"/>
  <c r="P15" i="5"/>
  <c r="AA15" i="5"/>
  <c r="J15" i="5"/>
  <c r="E15" i="5"/>
  <c r="AA14" i="5"/>
  <c r="J14" i="5"/>
  <c r="AC14" i="5"/>
  <c r="E14" i="5"/>
  <c r="J13" i="5"/>
  <c r="E13" i="5"/>
  <c r="J12" i="5"/>
  <c r="E12" i="5"/>
  <c r="J11" i="5"/>
  <c r="E11" i="5"/>
  <c r="J10" i="5"/>
  <c r="E10" i="5"/>
  <c r="J9" i="5"/>
  <c r="E9" i="5"/>
  <c r="AA8" i="5"/>
  <c r="J8" i="5"/>
  <c r="E8" i="5"/>
  <c r="J7" i="5"/>
  <c r="AC7" i="5"/>
  <c r="E7" i="5"/>
  <c r="J6" i="5"/>
  <c r="AC6" i="5"/>
  <c r="E6" i="5"/>
  <c r="J5" i="5"/>
  <c r="AC5" i="5"/>
  <c r="E5" i="5"/>
  <c r="AP28" i="1"/>
  <c r="AP31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G38" i="1"/>
  <c r="AJ38" i="1"/>
  <c r="AK38" i="1"/>
  <c r="AL38" i="1"/>
  <c r="AM38" i="1"/>
  <c r="AN38" i="1"/>
  <c r="AO38" i="1"/>
  <c r="K36" i="1"/>
  <c r="U36" i="1"/>
  <c r="AE36" i="1"/>
  <c r="K37" i="1"/>
  <c r="U37" i="1"/>
  <c r="AE37" i="1"/>
  <c r="K38" i="1"/>
  <c r="AH38" i="1"/>
  <c r="U38" i="1"/>
  <c r="AE38" i="1"/>
  <c r="K39" i="1"/>
  <c r="U39" i="1"/>
  <c r="AE39" i="1"/>
  <c r="K40" i="1"/>
  <c r="U40" i="1"/>
  <c r="AE40" i="1"/>
  <c r="K41" i="1"/>
  <c r="U41" i="1"/>
  <c r="AE41" i="1"/>
  <c r="AF41" i="1"/>
  <c r="K42" i="1"/>
  <c r="U42" i="1"/>
  <c r="AE42" i="1"/>
  <c r="AF42" i="1"/>
  <c r="K43" i="1"/>
  <c r="U43" i="1"/>
  <c r="AE43" i="1"/>
  <c r="AF43" i="1"/>
  <c r="K44" i="1"/>
  <c r="U44" i="1"/>
  <c r="AE44" i="1"/>
  <c r="AF44" i="1"/>
  <c r="K45" i="1"/>
  <c r="U45" i="1"/>
  <c r="AE45" i="1"/>
  <c r="AF45" i="1"/>
  <c r="K33" i="1"/>
  <c r="F35" i="4"/>
  <c r="AK31" i="1"/>
  <c r="AL31" i="1"/>
  <c r="AO31" i="1"/>
  <c r="AI30" i="1"/>
  <c r="AJ30" i="1"/>
  <c r="AM30" i="1"/>
  <c r="AN30" i="1"/>
  <c r="AI29" i="1"/>
  <c r="AJ27" i="1"/>
  <c r="AM27" i="1"/>
  <c r="AN27" i="1"/>
  <c r="AI26" i="1"/>
  <c r="AJ26" i="1"/>
  <c r="AM26" i="1"/>
  <c r="AN26" i="1"/>
  <c r="K26" i="1"/>
  <c r="AG26" i="1"/>
  <c r="AH25" i="1"/>
  <c r="AI25" i="1"/>
  <c r="AH24" i="1"/>
  <c r="AI24" i="1"/>
  <c r="AL23" i="1"/>
  <c r="AM23" i="1"/>
  <c r="AH22" i="1"/>
  <c r="AL22" i="1"/>
  <c r="AM22" i="1"/>
  <c r="AH21" i="1"/>
  <c r="AI21" i="1"/>
  <c r="AH20" i="1"/>
  <c r="AI20" i="1"/>
  <c r="AL19" i="1"/>
  <c r="AM19" i="1"/>
  <c r="AH18" i="1"/>
  <c r="AL18" i="1"/>
  <c r="AM18" i="1"/>
  <c r="AH17" i="1"/>
  <c r="AI17" i="1"/>
  <c r="F24" i="4"/>
  <c r="AK15" i="1"/>
  <c r="AL15" i="1"/>
  <c r="AO15" i="1"/>
  <c r="AG16" i="1"/>
  <c r="AH16" i="1"/>
  <c r="AN14" i="1"/>
  <c r="AO14" i="1"/>
  <c r="AJ14" i="1"/>
  <c r="AG13" i="1"/>
  <c r="AN12" i="1"/>
  <c r="AJ11" i="1"/>
  <c r="AK11" i="1"/>
  <c r="AL12" i="1"/>
  <c r="AO8" i="1"/>
  <c r="AM9" i="1"/>
  <c r="AN10" i="1"/>
  <c r="AJ6" i="1"/>
  <c r="AJ7" i="1"/>
  <c r="AK7" i="1"/>
  <c r="AJ10" i="1"/>
  <c r="AO5" i="1"/>
  <c r="AK5" i="1"/>
  <c r="AI6" i="1"/>
  <c r="AG8" i="1"/>
  <c r="AH8" i="1"/>
  <c r="AH9" i="1"/>
  <c r="AI9" i="1"/>
  <c r="K6" i="1"/>
  <c r="K7" i="1"/>
  <c r="K8" i="1"/>
  <c r="AI8" i="1"/>
  <c r="K9" i="1"/>
  <c r="AG9" i="1"/>
  <c r="K10" i="1"/>
  <c r="K11" i="1"/>
  <c r="K12" i="1"/>
  <c r="AH12" i="1"/>
  <c r="K13" i="1"/>
  <c r="AH13" i="1"/>
  <c r="K14" i="1"/>
  <c r="AI14" i="1"/>
  <c r="K15" i="1"/>
  <c r="AI15" i="1"/>
  <c r="K16" i="1"/>
  <c r="AI16" i="1"/>
  <c r="K17" i="1"/>
  <c r="AG17" i="1"/>
  <c r="K18" i="1"/>
  <c r="AG18" i="1"/>
  <c r="K19" i="1"/>
  <c r="AG19" i="1"/>
  <c r="K20" i="1"/>
  <c r="AG20" i="1"/>
  <c r="K21" i="1"/>
  <c r="AG21" i="1"/>
  <c r="K22" i="1"/>
  <c r="AG22" i="1"/>
  <c r="K23" i="1"/>
  <c r="AG23" i="1"/>
  <c r="K24" i="1"/>
  <c r="AG24" i="1"/>
  <c r="K25" i="1"/>
  <c r="AG25" i="1"/>
  <c r="K27" i="1"/>
  <c r="K28" i="1"/>
  <c r="K29" i="1"/>
  <c r="AG29" i="1"/>
  <c r="K30" i="1"/>
  <c r="AG30" i="1"/>
  <c r="K31" i="1"/>
  <c r="K32" i="1"/>
  <c r="K34" i="1"/>
  <c r="K35" i="1"/>
  <c r="U12" i="1"/>
  <c r="AJ12" i="1"/>
  <c r="U13" i="1"/>
  <c r="U14" i="1"/>
  <c r="AK14" i="1"/>
  <c r="U15" i="1"/>
  <c r="AJ15" i="1"/>
  <c r="U16" i="1"/>
  <c r="AJ16" i="1"/>
  <c r="U17" i="1"/>
  <c r="AL17" i="1"/>
  <c r="U18" i="1"/>
  <c r="AJ18" i="1"/>
  <c r="U19" i="1"/>
  <c r="AJ19" i="1"/>
  <c r="U20" i="1"/>
  <c r="U21" i="1"/>
  <c r="U22" i="1"/>
  <c r="AJ22" i="1"/>
  <c r="U23" i="1"/>
  <c r="AJ23" i="1"/>
  <c r="U24" i="1"/>
  <c r="U25" i="1"/>
  <c r="U26" i="1"/>
  <c r="AK26" i="1"/>
  <c r="U27" i="1"/>
  <c r="AK27" i="1"/>
  <c r="U28" i="1"/>
  <c r="U29" i="1"/>
  <c r="AJ29" i="1"/>
  <c r="U30" i="1"/>
  <c r="AK30" i="1"/>
  <c r="U31" i="1"/>
  <c r="AJ31" i="1"/>
  <c r="U32" i="1"/>
  <c r="U33" i="1"/>
  <c r="U34" i="1"/>
  <c r="U35" i="1"/>
  <c r="AE12" i="1"/>
  <c r="AO12" i="1"/>
  <c r="AE13" i="1"/>
  <c r="AM13" i="1"/>
  <c r="AE14" i="1"/>
  <c r="AM14" i="1"/>
  <c r="AE15" i="1"/>
  <c r="AM15" i="1"/>
  <c r="AE16" i="1"/>
  <c r="AO16" i="1"/>
  <c r="AE17" i="1"/>
  <c r="AE18" i="1"/>
  <c r="AN18" i="1"/>
  <c r="AE19" i="1"/>
  <c r="AN19" i="1"/>
  <c r="AE20" i="1"/>
  <c r="AM20" i="1"/>
  <c r="AE21" i="1"/>
  <c r="AE22" i="1"/>
  <c r="AN22" i="1"/>
  <c r="AE23" i="1"/>
  <c r="AN23" i="1"/>
  <c r="AE24" i="1"/>
  <c r="AE25" i="1"/>
  <c r="AE26" i="1"/>
  <c r="AO26" i="1"/>
  <c r="AE27" i="1"/>
  <c r="AO27" i="1"/>
  <c r="AE28" i="1"/>
  <c r="AN28" i="1"/>
  <c r="AE29" i="1"/>
  <c r="AE30" i="1"/>
  <c r="AO30" i="1"/>
  <c r="AE31" i="1"/>
  <c r="AM31" i="1"/>
  <c r="AE32" i="1"/>
  <c r="AE33" i="1"/>
  <c r="AE34" i="1"/>
  <c r="AE35" i="1"/>
  <c r="AE6" i="1"/>
  <c r="AO6" i="1"/>
  <c r="AE7" i="1"/>
  <c r="AM7" i="1"/>
  <c r="AE8" i="1"/>
  <c r="AM8" i="1"/>
  <c r="AE9" i="1"/>
  <c r="AN9" i="1"/>
  <c r="AE10" i="1"/>
  <c r="AO10" i="1"/>
  <c r="AE11" i="1"/>
  <c r="U6" i="1"/>
  <c r="AK6" i="1"/>
  <c r="U7" i="1"/>
  <c r="AL7" i="1"/>
  <c r="U8" i="1"/>
  <c r="AJ8" i="1"/>
  <c r="U9" i="1"/>
  <c r="AL9" i="1"/>
  <c r="U10" i="1"/>
  <c r="AK10" i="1"/>
  <c r="U11" i="1"/>
  <c r="AL11" i="1"/>
  <c r="G9" i="3"/>
  <c r="G8" i="3"/>
  <c r="F8" i="4"/>
  <c r="F4" i="4"/>
  <c r="G7" i="3"/>
  <c r="G6" i="3"/>
  <c r="G5" i="3"/>
  <c r="AE5" i="1"/>
  <c r="AN5" i="1"/>
  <c r="U5" i="1"/>
  <c r="AJ5" i="1"/>
  <c r="K5" i="1"/>
  <c r="AI5" i="1"/>
  <c r="AB30" i="5"/>
  <c r="AF40" i="1"/>
  <c r="AA20" i="5"/>
  <c r="AA35" i="5"/>
  <c r="AC15" i="5"/>
  <c r="AC17" i="5"/>
  <c r="AC18" i="5"/>
  <c r="AC20" i="5"/>
  <c r="AC21" i="5"/>
  <c r="AA22" i="5"/>
  <c r="AA39" i="5"/>
  <c r="AI38" i="1"/>
  <c r="AF39" i="1"/>
  <c r="AF38" i="1"/>
  <c r="AF37" i="1"/>
  <c r="AF36" i="1"/>
  <c r="AN25" i="1"/>
  <c r="AO25" i="1"/>
  <c r="AN17" i="1"/>
  <c r="AO17" i="1"/>
  <c r="AJ25" i="1"/>
  <c r="AK25" i="1"/>
  <c r="AJ13" i="1"/>
  <c r="AK13" i="1"/>
  <c r="AH11" i="1"/>
  <c r="AI11" i="1"/>
  <c r="AM32" i="1"/>
  <c r="AO32" i="1"/>
  <c r="AN32" i="1"/>
  <c r="AN24" i="1"/>
  <c r="AO24" i="1"/>
  <c r="AK28" i="1"/>
  <c r="AL28" i="1"/>
  <c r="AJ24" i="1"/>
  <c r="AK24" i="1"/>
  <c r="AJ20" i="1"/>
  <c r="AK20" i="1"/>
  <c r="AI31" i="1"/>
  <c r="AG31" i="1"/>
  <c r="AG27" i="1"/>
  <c r="AH27" i="1"/>
  <c r="AI27" i="1"/>
  <c r="AG10" i="1"/>
  <c r="AH10" i="1"/>
  <c r="AG6" i="1"/>
  <c r="AH6" i="1"/>
  <c r="AI10" i="1"/>
  <c r="AL5" i="1"/>
  <c r="AM10" i="1"/>
  <c r="AN7" i="1"/>
  <c r="AK12" i="1"/>
  <c r="AM12" i="1"/>
  <c r="AI19" i="1"/>
  <c r="AI23" i="1"/>
  <c r="AM24" i="1"/>
  <c r="AH31" i="1"/>
  <c r="AJ9" i="1"/>
  <c r="AK9" i="1"/>
  <c r="AO29" i="1"/>
  <c r="AM29" i="1"/>
  <c r="AN21" i="1"/>
  <c r="AO21" i="1"/>
  <c r="AJ21" i="1"/>
  <c r="AK21" i="1"/>
  <c r="AI32" i="1"/>
  <c r="AG32" i="1"/>
  <c r="AH7" i="1"/>
  <c r="AI7" i="1"/>
  <c r="AG11" i="1"/>
  <c r="AO7" i="1"/>
  <c r="AH32" i="1"/>
  <c r="AN20" i="1"/>
  <c r="AO20" i="1"/>
  <c r="AK32" i="1"/>
  <c r="AJ32" i="1"/>
  <c r="AG7" i="1"/>
  <c r="AL8" i="1"/>
  <c r="AN6" i="1"/>
  <c r="AO13" i="1"/>
  <c r="AH14" i="1"/>
  <c r="AL16" i="1"/>
  <c r="AH15" i="1"/>
  <c r="AH19" i="1"/>
  <c r="AL20" i="1"/>
  <c r="AH23" i="1"/>
  <c r="AL24" i="1"/>
  <c r="AJ28" i="1"/>
  <c r="AH5" i="1"/>
  <c r="AG5" i="1"/>
  <c r="AM11" i="1"/>
  <c r="AN11" i="1"/>
  <c r="AK29" i="1"/>
  <c r="AL29" i="1"/>
  <c r="AJ17" i="1"/>
  <c r="AK17" i="1"/>
  <c r="AG28" i="1"/>
  <c r="AI28" i="1"/>
  <c r="AH28" i="1"/>
  <c r="AL21" i="1"/>
  <c r="AL25" i="1"/>
  <c r="AN29" i="1"/>
  <c r="AO28" i="1"/>
  <c r="AM28" i="1"/>
  <c r="AM16" i="1"/>
  <c r="AN16" i="1"/>
  <c r="AK8" i="1"/>
  <c r="AO11" i="1"/>
  <c r="AM6" i="1"/>
  <c r="AN13" i="1"/>
  <c r="AG14" i="1"/>
  <c r="AL13" i="1"/>
  <c r="AK16" i="1"/>
  <c r="AG15" i="1"/>
  <c r="AM17" i="1"/>
  <c r="AI18" i="1"/>
  <c r="AM21" i="1"/>
  <c r="AI22" i="1"/>
  <c r="AM25" i="1"/>
  <c r="AL32" i="1"/>
  <c r="AM5" i="1"/>
  <c r="AL10" i="1"/>
  <c r="AL6" i="1"/>
  <c r="AO9" i="1"/>
  <c r="AN8" i="1"/>
  <c r="AI12" i="1"/>
  <c r="AG12" i="1"/>
  <c r="AI13" i="1"/>
  <c r="AL14" i="1"/>
  <c r="AN15" i="1"/>
  <c r="AO18" i="1"/>
  <c r="AK18" i="1"/>
  <c r="AO19" i="1"/>
  <c r="AK19" i="1"/>
  <c r="AO22" i="1"/>
  <c r="AK22" i="1"/>
  <c r="AO23" i="1"/>
  <c r="AK23" i="1"/>
  <c r="AL26" i="1"/>
  <c r="AH26" i="1"/>
  <c r="AL27" i="1"/>
  <c r="AH29" i="1"/>
  <c r="AL30" i="1"/>
  <c r="AH30" i="1"/>
  <c r="AN31" i="1"/>
  <c r="AF28" i="1"/>
  <c r="AF24" i="1"/>
  <c r="AF16" i="1"/>
  <c r="AF35" i="1"/>
  <c r="AF31" i="1"/>
  <c r="AF27" i="1"/>
  <c r="AF23" i="1"/>
  <c r="AF19" i="1"/>
  <c r="AF15" i="1"/>
  <c r="AF11" i="1"/>
  <c r="AP11" i="1"/>
  <c r="AF7" i="1"/>
  <c r="AP7" i="1"/>
  <c r="AF32" i="1"/>
  <c r="AF20" i="1"/>
  <c r="AF8" i="1"/>
  <c r="AP8" i="1"/>
  <c r="AF34" i="1"/>
  <c r="AF30" i="1"/>
  <c r="AF26" i="1"/>
  <c r="AF22" i="1"/>
  <c r="AF18" i="1"/>
  <c r="AF14" i="1"/>
  <c r="AF10" i="1"/>
  <c r="AR10" i="1"/>
  <c r="AF6" i="1"/>
  <c r="AP6" i="1"/>
  <c r="AF33" i="1"/>
  <c r="AF29" i="1"/>
  <c r="AF25" i="1"/>
  <c r="AF21" i="1"/>
  <c r="AF17" i="1"/>
  <c r="AF13" i="1"/>
  <c r="AF9" i="1"/>
  <c r="AP9" i="1"/>
  <c r="AR11" i="1"/>
  <c r="AQ11" i="1"/>
  <c r="AF12" i="1"/>
  <c r="AF5" i="1"/>
  <c r="AR5" i="1"/>
  <c r="AC30" i="5"/>
  <c r="AB31" i="5"/>
  <c r="AC31" i="5"/>
  <c r="AB32" i="5"/>
  <c r="AC32" i="5"/>
  <c r="AB33" i="5"/>
  <c r="AP38" i="1"/>
  <c r="AQ38" i="1"/>
  <c r="AR38" i="1"/>
  <c r="AP12" i="1"/>
  <c r="AQ12" i="1"/>
  <c r="AR12" i="1"/>
  <c r="AP30" i="1"/>
  <c r="AQ30" i="1"/>
  <c r="AR30" i="1"/>
  <c r="AR17" i="1"/>
  <c r="AP17" i="1"/>
  <c r="AQ17" i="1"/>
  <c r="AP29" i="1"/>
  <c r="AQ29" i="1"/>
  <c r="AR29" i="1"/>
  <c r="AQ32" i="1"/>
  <c r="AR32" i="1"/>
  <c r="AP32" i="1"/>
  <c r="AR18" i="1"/>
  <c r="AQ18" i="1"/>
  <c r="AP18" i="1"/>
  <c r="AR23" i="1"/>
  <c r="AP23" i="1"/>
  <c r="AQ23" i="1"/>
  <c r="AQ16" i="1"/>
  <c r="AR16" i="1"/>
  <c r="AP16" i="1"/>
  <c r="AR21" i="1"/>
  <c r="AP21" i="1"/>
  <c r="AQ21" i="1"/>
  <c r="AR22" i="1"/>
  <c r="AQ22" i="1"/>
  <c r="AP22" i="1"/>
  <c r="AP27" i="1"/>
  <c r="AQ27" i="1"/>
  <c r="AR27" i="1"/>
  <c r="AR24" i="1"/>
  <c r="AQ24" i="1"/>
  <c r="AP24" i="1"/>
  <c r="AR13" i="1"/>
  <c r="AQ13" i="1"/>
  <c r="AP13" i="1"/>
  <c r="AR14" i="1"/>
  <c r="AP14" i="1"/>
  <c r="AQ14" i="1"/>
  <c r="AR19" i="1"/>
  <c r="AP19" i="1"/>
  <c r="AQ19" i="1"/>
  <c r="AR25" i="1"/>
  <c r="AP25" i="1"/>
  <c r="AQ25" i="1"/>
  <c r="AP26" i="1"/>
  <c r="AR26" i="1"/>
  <c r="AQ26" i="1"/>
  <c r="AR20" i="1"/>
  <c r="AQ20" i="1"/>
  <c r="AP20" i="1"/>
  <c r="AQ15" i="1"/>
  <c r="AR15" i="1"/>
  <c r="AP15" i="1"/>
  <c r="AQ31" i="1"/>
  <c r="AR31" i="1"/>
  <c r="AR28" i="1"/>
  <c r="AQ28" i="1"/>
  <c r="AP10" i="1"/>
  <c r="AQ10" i="1"/>
  <c r="AQ5" i="1"/>
  <c r="AP5" i="1"/>
  <c r="AQ7" i="1"/>
  <c r="AR7" i="1"/>
  <c r="AQ6" i="1"/>
  <c r="AR6" i="1"/>
  <c r="AQ8" i="1"/>
  <c r="AR8" i="1"/>
  <c r="AQ9" i="1"/>
  <c r="AR9" i="1"/>
  <c r="AC33" i="5"/>
  <c r="AB34" i="5"/>
  <c r="AC34" i="5"/>
  <c r="AB35" i="5"/>
  <c r="AC35" i="5"/>
  <c r="AB36" i="5"/>
  <c r="AC36" i="5"/>
  <c r="AB37" i="5"/>
  <c r="AC37" i="5"/>
  <c r="AB38" i="5"/>
  <c r="AC38" i="5"/>
  <c r="AB39" i="5"/>
  <c r="AC39" i="5"/>
  <c r="AB40" i="5"/>
  <c r="AC40" i="5"/>
  <c r="AB41" i="5"/>
  <c r="AC41" i="5"/>
</calcChain>
</file>

<file path=xl/sharedStrings.xml><?xml version="1.0" encoding="utf-8"?>
<sst xmlns="http://schemas.openxmlformats.org/spreadsheetml/2006/main" count="209" uniqueCount="130">
  <si>
    <t>COOP 1</t>
  </si>
  <si>
    <t>COOP 2</t>
  </si>
  <si>
    <t>COOP 3</t>
  </si>
  <si>
    <t>DAILY TOTAL</t>
  </si>
  <si>
    <t>Date</t>
  </si>
  <si>
    <t>Cartons</t>
  </si>
  <si>
    <t>Crates</t>
  </si>
  <si>
    <t>Single Eggs</t>
  </si>
  <si>
    <t>Total Eggs</t>
  </si>
  <si>
    <t>All Coops</t>
  </si>
  <si>
    <t>MORNING</t>
  </si>
  <si>
    <t>AFTERNOON</t>
  </si>
  <si>
    <t>EVENING</t>
  </si>
  <si>
    <t>MAKARIFOR AGRICULTURE DAILY RECORD SPREADSHEET</t>
  </si>
  <si>
    <t>CARTOON</t>
  </si>
  <si>
    <t>CRATE</t>
  </si>
  <si>
    <t>SINGLE EGG</t>
  </si>
  <si>
    <t>TOTAL</t>
  </si>
  <si>
    <t>DATE</t>
  </si>
  <si>
    <t>EGG SALES</t>
  </si>
  <si>
    <t>UNIT COST</t>
  </si>
  <si>
    <t>AMOUNT</t>
  </si>
  <si>
    <t>SALES</t>
  </si>
  <si>
    <t>CRATES</t>
  </si>
  <si>
    <t>CARTOONS</t>
  </si>
  <si>
    <t>EXPENDITURE</t>
  </si>
  <si>
    <t>ITEMS</t>
  </si>
  <si>
    <t>COST</t>
  </si>
  <si>
    <t>NO</t>
  </si>
  <si>
    <t>UNIT</t>
  </si>
  <si>
    <t>Concentrate</t>
  </si>
  <si>
    <t>Top up Brigadier</t>
  </si>
  <si>
    <t>Nail</t>
  </si>
  <si>
    <t>Fuel to transport concentrate</t>
  </si>
  <si>
    <t>Cartoon eggs for Brigadier</t>
  </si>
  <si>
    <t>Paid debt to Mr Ibrahim</t>
  </si>
  <si>
    <t>condiment</t>
  </si>
  <si>
    <t>crate</t>
  </si>
  <si>
    <t>transportation for corn</t>
  </si>
  <si>
    <t>board</t>
  </si>
  <si>
    <t>Mr Hassan</t>
  </si>
  <si>
    <t>loading corn in the vehicle</t>
  </si>
  <si>
    <t>Mr Hassan for Fan</t>
  </si>
  <si>
    <t>Marie - Dept</t>
  </si>
  <si>
    <t>TOTAL PER COOP</t>
  </si>
  <si>
    <t>SINGLE EGGS</t>
  </si>
  <si>
    <t>General MBS</t>
  </si>
  <si>
    <t>emmanuel Welder</t>
  </si>
  <si>
    <t>foday kaile</t>
  </si>
  <si>
    <t>crates</t>
  </si>
  <si>
    <t>Mr Yusif funeral</t>
  </si>
  <si>
    <t>Baba</t>
  </si>
  <si>
    <t>Musa, Nabiellie</t>
  </si>
  <si>
    <t>money at hand</t>
  </si>
  <si>
    <t>baba</t>
  </si>
  <si>
    <t>sales</t>
  </si>
  <si>
    <t xml:space="preserve">Mr Bendu </t>
  </si>
  <si>
    <t>Eggs Produced</t>
  </si>
  <si>
    <t>CEO/Visitors</t>
  </si>
  <si>
    <t>Sold</t>
  </si>
  <si>
    <t>Stock</t>
  </si>
  <si>
    <t>Price</t>
  </si>
  <si>
    <t>Sales</t>
  </si>
  <si>
    <t>Feed Item</t>
  </si>
  <si>
    <t>Amount</t>
  </si>
  <si>
    <t>Transport Item</t>
  </si>
  <si>
    <t>Labour Item</t>
  </si>
  <si>
    <t>Medication Item</t>
  </si>
  <si>
    <t>Packaging Item</t>
  </si>
  <si>
    <t>Utilities Item</t>
  </si>
  <si>
    <t>Loan Item</t>
  </si>
  <si>
    <t>Misc. Item</t>
  </si>
  <si>
    <t>Total Expenses</t>
  </si>
  <si>
    <t>Cash Remaining</t>
  </si>
  <si>
    <t>Cartoon</t>
  </si>
  <si>
    <t>Single Egg</t>
  </si>
  <si>
    <t>Total</t>
  </si>
  <si>
    <t>Condiment</t>
  </si>
  <si>
    <t>TP 4 Corn</t>
  </si>
  <si>
    <t>corn loading</t>
  </si>
  <si>
    <t>Egg Crate</t>
  </si>
  <si>
    <t>Mr Ibrahim &amp; Mr Hassan</t>
  </si>
  <si>
    <t>6 leaf boare</t>
  </si>
  <si>
    <t>concentrate</t>
  </si>
  <si>
    <t>Popo d bag</t>
  </si>
  <si>
    <t>Diesel &amp; Oil</t>
  </si>
  <si>
    <t>salt</t>
  </si>
  <si>
    <t>Emmanuel Welder (le3,500), Foday Kalie (le6,350), Mr Usiff funeral (le500) Baba (le3,500), Musa, Nabiella &amp; others (le 400)</t>
  </si>
  <si>
    <t>Gen MBS</t>
  </si>
  <si>
    <t>Abu Kamara</t>
  </si>
  <si>
    <t>Corn (Mr Ibrahim)</t>
  </si>
  <si>
    <t>Egg Crate (3*350)</t>
  </si>
  <si>
    <t>Abu Kamara (le 5,000), Neneh (le 300</t>
  </si>
  <si>
    <t>concentrate (le 1,400*8)</t>
  </si>
  <si>
    <t>PKC (le 200*2)</t>
  </si>
  <si>
    <t>Feeders (le300*13), Bike Tire (le500)</t>
  </si>
  <si>
    <t>4 Crate</t>
  </si>
  <si>
    <t>Egg Crate (le350*4)</t>
  </si>
  <si>
    <t>Feeders (Le300*8)</t>
  </si>
  <si>
    <t>15 + 6 Crates</t>
  </si>
  <si>
    <t>Ishmail (le1,500), Loan (le500)</t>
  </si>
  <si>
    <t>Diesel 4 power Tila</t>
  </si>
  <si>
    <t>Abu Kamara (le3,000), Abass, Luthy &amp; Musa (le600)</t>
  </si>
  <si>
    <t>Egg Crate (le350*3)</t>
  </si>
  <si>
    <t>Selotape</t>
  </si>
  <si>
    <t>Abu Kamara  (le2,000), mamy I (le5,000</t>
  </si>
  <si>
    <t>Pawa Tila Cleaner</t>
  </si>
  <si>
    <t>Corn (Mr Ibrahim(le 40,000) &amp; Concentrate (le 1,400*8)</t>
  </si>
  <si>
    <t>Transport 4 Corn</t>
  </si>
  <si>
    <t>Egg Crate (300)</t>
  </si>
  <si>
    <t>PKC (Le200*2)</t>
  </si>
  <si>
    <t>Diesel 4 Power Tila (3 ltrs)</t>
  </si>
  <si>
    <t>Board 4 Net(le125*14) &amp; Top up 4 Cameras (le100)</t>
  </si>
  <si>
    <t>Egg Crate (le300*3)</t>
  </si>
  <si>
    <t>Baba (le1,300) &amp; Chief Foday(le 1,000)</t>
  </si>
  <si>
    <t>Mr Bendu</t>
  </si>
  <si>
    <t>Diesel 4 Power Tila</t>
  </si>
  <si>
    <t>Gen MBS (le2,500) &amp; Mohamed Bah (le500)</t>
  </si>
  <si>
    <t>Egg crate (le350*3)</t>
  </si>
  <si>
    <t>Hard board (le130*2)</t>
  </si>
  <si>
    <t>Gen MBS (le1,000), Baba (le2,500), Abass (le500), Chernor (le500), Sheku (le300), Top up 4 Camera (le100)</t>
  </si>
  <si>
    <t>concentrate (le 1,400*4)</t>
  </si>
  <si>
    <t>PKC 1 bag</t>
  </si>
  <si>
    <t>Diesel-5 ltrs(le175), Fuel 4 bike 2 ltrs (le66)</t>
  </si>
  <si>
    <t>Mr Abu Kamara (le3,000), S/stg Kanneh (le4,000)</t>
  </si>
  <si>
    <t>Cartoon (le20*24), Crate (le350*3</t>
  </si>
  <si>
    <t>concentrate (le 1,450*12)</t>
  </si>
  <si>
    <t>PKC (2*200)</t>
  </si>
  <si>
    <t>Fueal 4 bike- 2ltrs</t>
  </si>
  <si>
    <t>Marie Kamara (le1,000), thaimu (le500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</si>
</sst>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Le&quot;#,##0;[Red]\-&quot;Le&quot;#,##0"/>
    <numFmt numFmtId="165" formatCode="&quot;Le&quot;#,##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1" fillId="4" borderId="1" xfId="0" applyFont="1" applyFill="1" applyBorder="1"/>
    <xf numFmtId="0" fontId="1" fillId="5" borderId="1" xfId="0" applyFont="1" applyFill="1" applyBorder="1"/>
    <xf numFmtId="0" fontId="2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165" fontId="0" fillId="3" borderId="0" xfId="0" applyNumberFormat="1" applyFill="1"/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65" fontId="5" fillId="2" borderId="1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165" fontId="1" fillId="3" borderId="1" xfId="0" applyNumberFormat="1" applyFont="1" applyFill="1" applyBorder="1" applyAlignment="1">
      <alignment horizontal="center" wrapText="1"/>
    </xf>
    <xf numFmtId="0" fontId="4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4" fontId="1" fillId="3" borderId="1" xfId="0" applyNumberFormat="1" applyFont="1" applyFill="1" applyBorder="1" applyAlignment="1">
      <alignment horizontal="center" wrapText="1"/>
    </xf>
    <xf numFmtId="0" fontId="0" fillId="7" borderId="0" xfId="0" applyFill="1"/>
    <xf numFmtId="14" fontId="1" fillId="8" borderId="1" xfId="0" applyNumberFormat="1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165" fontId="1" fillId="8" borderId="1" xfId="0" applyNumberFormat="1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45"/>
  <sheetViews>
    <sheetView tabSelected="1" topLeftCell="A5" zoomScale="64" zoomScaleNormal="70" workbookViewId="0">
      <selection activeCell="AJ44" sqref="AJ44"/>
    </sheetView>
  </sheetViews>
  <sheetFormatPr defaultRowHeight="15" x14ac:dyDescent="0.2"/>
  <cols>
    <col min="1" max="1" width="12.375" customWidth="1"/>
    <col min="2" max="2" width="9.14453125" customWidth="1"/>
    <col min="3" max="3" width="7.80078125" customWidth="1"/>
    <col min="4" max="4" width="7.6640625" customWidth="1"/>
    <col min="5" max="5" width="9.28125" customWidth="1"/>
    <col min="6" max="6" width="7.80078125" customWidth="1"/>
    <col min="7" max="7" width="8.203125" customWidth="1"/>
    <col min="8" max="8" width="8.875" customWidth="1"/>
    <col min="9" max="9" width="7.93359375" customWidth="1"/>
    <col min="10" max="10" width="8.875" customWidth="1"/>
    <col min="11" max="11" width="8.33984375" customWidth="1"/>
    <col min="12" max="12" width="8.203125" customWidth="1"/>
    <col min="13" max="13" width="7.93359375" customWidth="1"/>
    <col min="14" max="14" width="7.12890625" customWidth="1"/>
    <col min="15" max="15" width="9.4140625" customWidth="1"/>
    <col min="16" max="16" width="7.80078125" customWidth="1"/>
    <col min="17" max="17" width="7.12890625" customWidth="1"/>
    <col min="18" max="18" width="8.7421875" customWidth="1"/>
    <col min="19" max="19" width="8.203125" customWidth="1"/>
    <col min="20" max="20" width="7.12890625" customWidth="1"/>
    <col min="21" max="21" width="6.859375" customWidth="1"/>
    <col min="22" max="22" width="8.7421875" customWidth="1"/>
    <col min="23" max="23" width="7.93359375" customWidth="1"/>
    <col min="24" max="24" width="7.80078125" customWidth="1"/>
    <col min="25" max="25" width="9.68359375" customWidth="1"/>
    <col min="26" max="26" width="7.80078125" customWidth="1"/>
    <col min="27" max="27" width="8.203125" customWidth="1"/>
    <col min="28" max="28" width="9.68359375" customWidth="1"/>
    <col min="29" max="29" width="7.93359375" customWidth="1"/>
    <col min="30" max="30" width="8.203125" customWidth="1"/>
    <col min="31" max="31" width="7.53125" customWidth="1"/>
    <col min="32" max="32" width="10.625" customWidth="1"/>
    <col min="33" max="33" width="14.125" customWidth="1"/>
    <col min="34" max="35" width="10.625" customWidth="1"/>
    <col min="36" max="36" width="13.71875" customWidth="1"/>
    <col min="37" max="38" width="10.625" customWidth="1"/>
    <col min="39" max="39" width="13.71875" bestFit="1" customWidth="1"/>
    <col min="40" max="41" width="10.625" customWidth="1"/>
    <col min="42" max="42" width="12.23828125" customWidth="1"/>
    <col min="43" max="43" width="9.28125" customWidth="1"/>
  </cols>
  <sheetData>
    <row r="1" spans="1:44" ht="28.15" customHeight="1" x14ac:dyDescent="0.2">
      <c r="A1" s="49" t="s">
        <v>13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</row>
    <row r="2" spans="1:44" ht="30" x14ac:dyDescent="0.2">
      <c r="A2" s="3"/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 t="s">
        <v>1</v>
      </c>
      <c r="M2" s="50"/>
      <c r="N2" s="50"/>
      <c r="O2" s="50"/>
      <c r="P2" s="50"/>
      <c r="Q2" s="50"/>
      <c r="R2" s="50"/>
      <c r="S2" s="50"/>
      <c r="T2" s="50"/>
      <c r="U2" s="50"/>
      <c r="V2" s="50" t="s">
        <v>2</v>
      </c>
      <c r="W2" s="50"/>
      <c r="X2" s="50"/>
      <c r="Y2" s="50"/>
      <c r="Z2" s="50"/>
      <c r="AA2" s="50"/>
      <c r="AB2" s="50"/>
      <c r="AC2" s="50"/>
      <c r="AD2" s="50"/>
      <c r="AE2" s="50"/>
      <c r="AF2" s="1" t="s">
        <v>3</v>
      </c>
      <c r="AG2" s="55" t="s">
        <v>44</v>
      </c>
      <c r="AH2" s="56"/>
      <c r="AI2" s="56"/>
      <c r="AJ2" s="56"/>
      <c r="AK2" s="56"/>
      <c r="AL2" s="56"/>
      <c r="AM2" s="56"/>
      <c r="AN2" s="56"/>
      <c r="AO2" s="57"/>
      <c r="AP2" s="48" t="s">
        <v>17</v>
      </c>
      <c r="AQ2" s="48"/>
      <c r="AR2" s="48"/>
    </row>
    <row r="3" spans="1:44" x14ac:dyDescent="0.2">
      <c r="A3" s="3"/>
      <c r="B3" s="51" t="s">
        <v>10</v>
      </c>
      <c r="C3" s="51"/>
      <c r="D3" s="51"/>
      <c r="E3" s="52" t="s">
        <v>11</v>
      </c>
      <c r="F3" s="52"/>
      <c r="G3" s="52"/>
      <c r="H3" s="53" t="s">
        <v>12</v>
      </c>
      <c r="I3" s="53"/>
      <c r="J3" s="53"/>
      <c r="K3" s="14"/>
      <c r="L3" s="51" t="s">
        <v>10</v>
      </c>
      <c r="M3" s="51"/>
      <c r="N3" s="51"/>
      <c r="O3" s="54" t="s">
        <v>11</v>
      </c>
      <c r="P3" s="54"/>
      <c r="Q3" s="54"/>
      <c r="R3" s="53" t="s">
        <v>12</v>
      </c>
      <c r="S3" s="53"/>
      <c r="T3" s="53"/>
      <c r="U3" s="14"/>
      <c r="V3" s="51" t="s">
        <v>10</v>
      </c>
      <c r="W3" s="51"/>
      <c r="X3" s="51"/>
      <c r="Y3" s="54" t="s">
        <v>11</v>
      </c>
      <c r="Z3" s="54"/>
      <c r="AA3" s="54"/>
      <c r="AB3" s="53" t="s">
        <v>12</v>
      </c>
      <c r="AC3" s="53"/>
      <c r="AD3" s="53"/>
      <c r="AE3" s="14"/>
      <c r="AF3" s="16"/>
      <c r="AG3" s="45" t="s">
        <v>0</v>
      </c>
      <c r="AH3" s="46"/>
      <c r="AI3" s="46"/>
      <c r="AJ3" s="45" t="s">
        <v>1</v>
      </c>
      <c r="AK3" s="46"/>
      <c r="AL3" s="47"/>
      <c r="AM3" s="45" t="s">
        <v>2</v>
      </c>
      <c r="AN3" s="46"/>
      <c r="AO3" s="47"/>
      <c r="AP3" s="48"/>
      <c r="AQ3" s="48"/>
      <c r="AR3" s="48"/>
    </row>
    <row r="4" spans="1:44" ht="30" x14ac:dyDescent="0.2">
      <c r="A4" s="2" t="s">
        <v>4</v>
      </c>
      <c r="B4" s="8" t="s">
        <v>5</v>
      </c>
      <c r="C4" s="8" t="s">
        <v>6</v>
      </c>
      <c r="D4" s="9" t="s">
        <v>7</v>
      </c>
      <c r="E4" s="5" t="s">
        <v>5</v>
      </c>
      <c r="F4" s="5" t="s">
        <v>6</v>
      </c>
      <c r="G4" s="6" t="s">
        <v>7</v>
      </c>
      <c r="H4" s="11" t="s">
        <v>5</v>
      </c>
      <c r="I4" s="11" t="s">
        <v>6</v>
      </c>
      <c r="J4" s="12" t="s">
        <v>7</v>
      </c>
      <c r="K4" s="15" t="s">
        <v>8</v>
      </c>
      <c r="L4" s="8" t="s">
        <v>5</v>
      </c>
      <c r="M4" s="8" t="s">
        <v>6</v>
      </c>
      <c r="N4" s="9" t="s">
        <v>7</v>
      </c>
      <c r="O4" s="5" t="s">
        <v>5</v>
      </c>
      <c r="P4" s="5" t="s">
        <v>6</v>
      </c>
      <c r="Q4" s="6" t="s">
        <v>7</v>
      </c>
      <c r="R4" s="11" t="s">
        <v>5</v>
      </c>
      <c r="S4" s="11" t="s">
        <v>6</v>
      </c>
      <c r="T4" s="12" t="s">
        <v>7</v>
      </c>
      <c r="U4" s="15" t="s">
        <v>8</v>
      </c>
      <c r="V4" s="8" t="s">
        <v>5</v>
      </c>
      <c r="W4" s="8" t="s">
        <v>6</v>
      </c>
      <c r="X4" s="9" t="s">
        <v>7</v>
      </c>
      <c r="Y4" s="5" t="s">
        <v>5</v>
      </c>
      <c r="Z4" s="5" t="s">
        <v>6</v>
      </c>
      <c r="AA4" s="6" t="s">
        <v>7</v>
      </c>
      <c r="AB4" s="11" t="s">
        <v>5</v>
      </c>
      <c r="AC4" s="11" t="s">
        <v>6</v>
      </c>
      <c r="AD4" s="12" t="s">
        <v>7</v>
      </c>
      <c r="AE4" s="15" t="s">
        <v>8</v>
      </c>
      <c r="AF4" s="16" t="s">
        <v>9</v>
      </c>
      <c r="AG4" s="2" t="s">
        <v>24</v>
      </c>
      <c r="AH4" s="2" t="s">
        <v>23</v>
      </c>
      <c r="AI4" s="27" t="s">
        <v>45</v>
      </c>
      <c r="AJ4" s="2" t="s">
        <v>24</v>
      </c>
      <c r="AK4" s="2" t="s">
        <v>23</v>
      </c>
      <c r="AL4" s="27" t="s">
        <v>45</v>
      </c>
      <c r="AM4" s="2" t="s">
        <v>24</v>
      </c>
      <c r="AN4" s="2" t="s">
        <v>23</v>
      </c>
      <c r="AO4" s="27" t="s">
        <v>45</v>
      </c>
      <c r="AP4" s="2" t="s">
        <v>14</v>
      </c>
      <c r="AQ4" s="3" t="s">
        <v>15</v>
      </c>
      <c r="AR4" s="18" t="s">
        <v>16</v>
      </c>
    </row>
    <row r="5" spans="1:44" x14ac:dyDescent="0.2">
      <c r="A5" s="4">
        <v>46190</v>
      </c>
      <c r="B5" s="10">
        <v>1</v>
      </c>
      <c r="C5" s="10">
        <v>7</v>
      </c>
      <c r="D5" s="10">
        <v>0</v>
      </c>
      <c r="E5" s="7">
        <v>0</v>
      </c>
      <c r="F5" s="7">
        <v>8</v>
      </c>
      <c r="G5" s="7">
        <v>10</v>
      </c>
      <c r="H5" s="13">
        <v>0</v>
      </c>
      <c r="I5" s="13">
        <v>0</v>
      </c>
      <c r="J5" s="13">
        <v>0</v>
      </c>
      <c r="K5" s="14">
        <f>(B5*12*30)+(C5*30)+D5+(E5*12*30)+(F5*30)+G5+(H5*12*30)+(I5*30)+J5</f>
        <v>820</v>
      </c>
      <c r="L5" s="10">
        <v>0</v>
      </c>
      <c r="M5" s="10">
        <v>7</v>
      </c>
      <c r="N5" s="10">
        <v>0</v>
      </c>
      <c r="O5" s="7">
        <v>0</v>
      </c>
      <c r="P5" s="7">
        <v>3</v>
      </c>
      <c r="Q5" s="7">
        <v>3</v>
      </c>
      <c r="R5" s="13">
        <v>0</v>
      </c>
      <c r="S5" s="13">
        <v>0</v>
      </c>
      <c r="T5" s="13">
        <v>0</v>
      </c>
      <c r="U5" s="14">
        <f>(L5*12*30)+(M5*30)+N5+(O5*12*30)+(P5*30)+Q5+(R5*12*30)+(S5*30)+T5</f>
        <v>303</v>
      </c>
      <c r="V5" s="10">
        <v>0</v>
      </c>
      <c r="W5" s="10">
        <v>10</v>
      </c>
      <c r="X5" s="10">
        <v>15</v>
      </c>
      <c r="Y5" s="7">
        <v>0</v>
      </c>
      <c r="Z5" s="7">
        <v>3</v>
      </c>
      <c r="AA5" s="7">
        <v>8</v>
      </c>
      <c r="AB5" s="13">
        <v>0</v>
      </c>
      <c r="AC5" s="13">
        <v>0</v>
      </c>
      <c r="AD5" s="13">
        <v>0</v>
      </c>
      <c r="AE5" s="14">
        <f>(V5*12*30)+(W5*30)+X5+(Y5*12*30)+(Z5*30)+AA5+(AB5*12*30)+(AC5*30)+AD5</f>
        <v>413</v>
      </c>
      <c r="AF5" s="17">
        <f t="shared" ref="AF5:AF35" si="0">K5+U5+AE5</f>
        <v>1536</v>
      </c>
      <c r="AG5" s="3">
        <f>INT(K5/360)</f>
        <v>2</v>
      </c>
      <c r="AH5" s="3">
        <f>INT(MOD(K5,360)/30)</f>
        <v>3</v>
      </c>
      <c r="AI5" s="3">
        <f>MOD(K5,30)</f>
        <v>10</v>
      </c>
      <c r="AJ5" s="3">
        <f>INT(U5/360)</f>
        <v>0</v>
      </c>
      <c r="AK5" s="3">
        <f>INT(MOD(U5,360)/30)</f>
        <v>10</v>
      </c>
      <c r="AL5" s="3">
        <f>MOD(U5,30)</f>
        <v>3</v>
      </c>
      <c r="AM5" s="3">
        <f>INT(AE5/360)</f>
        <v>1</v>
      </c>
      <c r="AN5" s="3">
        <f>INT(MOD(AE5,360)/30)</f>
        <v>1</v>
      </c>
      <c r="AO5" s="3">
        <f>MOD(AE5,30)</f>
        <v>23</v>
      </c>
      <c r="AP5" s="3">
        <f>INT(AF5/360)</f>
        <v>4</v>
      </c>
      <c r="AQ5" s="3">
        <f>INT(MOD(AF5,360)/30)</f>
        <v>3</v>
      </c>
      <c r="AR5" s="3">
        <f>MOD(AF5,30)</f>
        <v>6</v>
      </c>
    </row>
    <row r="6" spans="1:44" x14ac:dyDescent="0.2">
      <c r="A6" s="4">
        <v>46191</v>
      </c>
      <c r="B6" s="10">
        <v>1</v>
      </c>
      <c r="C6" s="10">
        <v>4</v>
      </c>
      <c r="D6" s="10">
        <v>12</v>
      </c>
      <c r="E6" s="7">
        <v>0</v>
      </c>
      <c r="F6" s="7">
        <v>10</v>
      </c>
      <c r="G6" s="7">
        <v>3</v>
      </c>
      <c r="H6" s="13">
        <v>0</v>
      </c>
      <c r="I6" s="13">
        <v>2</v>
      </c>
      <c r="J6" s="13">
        <v>12</v>
      </c>
      <c r="K6" s="14">
        <f t="shared" ref="K6:K35" si="1">(B6*12*30)+(C6*30)+D6+(E6*12*30)+(F6*30)+G6+(H6*12*30)+(I6*30)+J6</f>
        <v>867</v>
      </c>
      <c r="L6" s="10">
        <v>0</v>
      </c>
      <c r="M6" s="10">
        <v>7</v>
      </c>
      <c r="N6" s="10">
        <v>0</v>
      </c>
      <c r="O6" s="7">
        <v>0</v>
      </c>
      <c r="P6" s="7">
        <v>4</v>
      </c>
      <c r="Q6" s="7">
        <v>29</v>
      </c>
      <c r="R6" s="13">
        <v>0</v>
      </c>
      <c r="S6" s="13">
        <v>1</v>
      </c>
      <c r="T6" s="13">
        <v>5</v>
      </c>
      <c r="U6" s="14">
        <f t="shared" ref="U6:U35" si="2">(L6*12*30)+(M6*30)+N6+(O6*12*30)+(P6*30)+Q6+(R6*12*30)+(S6*30)+T6</f>
        <v>394</v>
      </c>
      <c r="V6" s="10">
        <v>0</v>
      </c>
      <c r="W6" s="10">
        <v>10</v>
      </c>
      <c r="X6" s="10">
        <v>10</v>
      </c>
      <c r="Y6" s="7">
        <v>0</v>
      </c>
      <c r="Z6" s="7">
        <v>7</v>
      </c>
      <c r="AA6" s="7">
        <v>0</v>
      </c>
      <c r="AB6" s="13">
        <v>0</v>
      </c>
      <c r="AC6" s="13">
        <v>1</v>
      </c>
      <c r="AD6" s="13">
        <v>5</v>
      </c>
      <c r="AE6" s="14">
        <f t="shared" ref="AE6:AE35" si="3">(V6*12*30)+(W6*30)+X6+(Y6*12*30)+(Z6*30)+AA6+(AB6*12*30)+(AC6*30)+AD6</f>
        <v>555</v>
      </c>
      <c r="AF6" s="17">
        <f t="shared" si="0"/>
        <v>1816</v>
      </c>
      <c r="AG6" s="3">
        <f t="shared" ref="AG6:AG11" si="4">INT(K6/360)</f>
        <v>2</v>
      </c>
      <c r="AH6" s="3">
        <f t="shared" ref="AH6:AH11" si="5">INT(MOD(K6,360)/30)</f>
        <v>4</v>
      </c>
      <c r="AI6" s="3">
        <f t="shared" ref="AI6:AI11" si="6">MOD(K6,30)</f>
        <v>27</v>
      </c>
      <c r="AJ6" s="3">
        <f t="shared" ref="AJ6:AJ10" si="7">INT(U6/360)</f>
        <v>1</v>
      </c>
      <c r="AK6" s="3">
        <f t="shared" ref="AK6:AK10" si="8">INT(MOD(U6,360)/30)</f>
        <v>1</v>
      </c>
      <c r="AL6" s="3">
        <f t="shared" ref="AL6:AL10" si="9">MOD(U6,30)</f>
        <v>4</v>
      </c>
      <c r="AM6" s="3">
        <f t="shared" ref="AM6:AM10" si="10">INT(AE6/360)</f>
        <v>1</v>
      </c>
      <c r="AN6" s="3">
        <f t="shared" ref="AN6:AN11" si="11">INT(MOD(AE6,360)/30)</f>
        <v>6</v>
      </c>
      <c r="AO6" s="3">
        <f t="shared" ref="AO6:AO11" si="12">MOD(AE6,30)</f>
        <v>15</v>
      </c>
      <c r="AP6" s="3">
        <f t="shared" ref="AP6:AP7" si="13">INT(AF6/360)</f>
        <v>5</v>
      </c>
      <c r="AQ6" s="3">
        <f t="shared" ref="AQ6:AQ7" si="14">INT(MOD(AF6,360)/30)</f>
        <v>0</v>
      </c>
      <c r="AR6" s="3">
        <f t="shared" ref="AR6:AR7" si="15">MOD(MOD(AF6,360),30)</f>
        <v>16</v>
      </c>
    </row>
    <row r="7" spans="1:44" x14ac:dyDescent="0.2">
      <c r="A7" s="4">
        <v>46192</v>
      </c>
      <c r="B7" s="10">
        <v>1</v>
      </c>
      <c r="C7" s="10">
        <v>9</v>
      </c>
      <c r="D7" s="10">
        <v>3</v>
      </c>
      <c r="E7" s="7">
        <v>0</v>
      </c>
      <c r="F7" s="7">
        <v>7</v>
      </c>
      <c r="G7" s="7">
        <v>1</v>
      </c>
      <c r="H7" s="13">
        <v>0</v>
      </c>
      <c r="I7" s="13">
        <v>1</v>
      </c>
      <c r="J7" s="13">
        <v>14</v>
      </c>
      <c r="K7" s="14">
        <f t="shared" si="1"/>
        <v>888</v>
      </c>
      <c r="L7" s="10">
        <v>0</v>
      </c>
      <c r="M7" s="10">
        <v>8</v>
      </c>
      <c r="N7" s="10">
        <v>1</v>
      </c>
      <c r="O7" s="7">
        <v>0</v>
      </c>
      <c r="P7" s="7">
        <v>4</v>
      </c>
      <c r="Q7" s="7">
        <v>15</v>
      </c>
      <c r="R7" s="13">
        <v>0</v>
      </c>
      <c r="S7" s="13">
        <v>1</v>
      </c>
      <c r="T7" s="13">
        <v>14</v>
      </c>
      <c r="U7" s="14">
        <f t="shared" si="2"/>
        <v>420</v>
      </c>
      <c r="V7" s="10">
        <v>1</v>
      </c>
      <c r="W7" s="10">
        <v>0</v>
      </c>
      <c r="X7" s="10">
        <v>26</v>
      </c>
      <c r="Y7" s="7">
        <v>0</v>
      </c>
      <c r="Z7" s="7">
        <v>6</v>
      </c>
      <c r="AA7" s="7">
        <v>8</v>
      </c>
      <c r="AB7" s="13">
        <v>0</v>
      </c>
      <c r="AC7" s="13">
        <v>1</v>
      </c>
      <c r="AD7" s="13">
        <v>26</v>
      </c>
      <c r="AE7" s="14">
        <f t="shared" si="3"/>
        <v>630</v>
      </c>
      <c r="AF7" s="17">
        <f t="shared" si="0"/>
        <v>1938</v>
      </c>
      <c r="AG7" s="3">
        <f t="shared" si="4"/>
        <v>2</v>
      </c>
      <c r="AH7" s="3">
        <f t="shared" si="5"/>
        <v>5</v>
      </c>
      <c r="AI7" s="3">
        <f t="shared" si="6"/>
        <v>18</v>
      </c>
      <c r="AJ7" s="3">
        <f t="shared" si="7"/>
        <v>1</v>
      </c>
      <c r="AK7" s="3">
        <f t="shared" si="8"/>
        <v>2</v>
      </c>
      <c r="AL7" s="3">
        <f t="shared" si="9"/>
        <v>0</v>
      </c>
      <c r="AM7" s="3">
        <f t="shared" si="10"/>
        <v>1</v>
      </c>
      <c r="AN7" s="3">
        <f t="shared" si="11"/>
        <v>9</v>
      </c>
      <c r="AO7" s="3">
        <f t="shared" si="12"/>
        <v>0</v>
      </c>
      <c r="AP7" s="3">
        <f t="shared" si="13"/>
        <v>5</v>
      </c>
      <c r="AQ7" s="3">
        <f t="shared" si="14"/>
        <v>4</v>
      </c>
      <c r="AR7" s="3">
        <f t="shared" si="15"/>
        <v>18</v>
      </c>
    </row>
    <row r="8" spans="1:44" x14ac:dyDescent="0.2">
      <c r="A8" s="4">
        <v>46193</v>
      </c>
      <c r="B8" s="10">
        <v>1</v>
      </c>
      <c r="C8" s="10">
        <v>7</v>
      </c>
      <c r="D8" s="10">
        <v>1</v>
      </c>
      <c r="E8" s="7">
        <v>0</v>
      </c>
      <c r="F8" s="7">
        <v>8</v>
      </c>
      <c r="G8" s="7">
        <v>14</v>
      </c>
      <c r="H8" s="13">
        <v>0</v>
      </c>
      <c r="I8" s="13">
        <v>2</v>
      </c>
      <c r="J8" s="13">
        <v>5</v>
      </c>
      <c r="K8" s="14">
        <f t="shared" si="1"/>
        <v>890</v>
      </c>
      <c r="L8" s="10">
        <v>0</v>
      </c>
      <c r="M8" s="10">
        <v>7</v>
      </c>
      <c r="N8" s="10">
        <v>5</v>
      </c>
      <c r="O8" s="7">
        <v>0</v>
      </c>
      <c r="P8" s="7">
        <v>4</v>
      </c>
      <c r="Q8" s="7">
        <v>0</v>
      </c>
      <c r="R8" s="13">
        <v>0</v>
      </c>
      <c r="S8" s="13">
        <v>1</v>
      </c>
      <c r="T8" s="13">
        <v>20</v>
      </c>
      <c r="U8" s="14">
        <f t="shared" si="2"/>
        <v>385</v>
      </c>
      <c r="V8" s="10">
        <v>0</v>
      </c>
      <c r="W8" s="10">
        <v>11</v>
      </c>
      <c r="X8" s="10">
        <v>5</v>
      </c>
      <c r="Y8" s="7">
        <v>0</v>
      </c>
      <c r="Z8" s="7">
        <v>6</v>
      </c>
      <c r="AA8" s="7">
        <v>10</v>
      </c>
      <c r="AB8" s="13">
        <v>0</v>
      </c>
      <c r="AC8" s="13">
        <v>3</v>
      </c>
      <c r="AD8" s="13">
        <v>11</v>
      </c>
      <c r="AE8" s="14">
        <f t="shared" si="3"/>
        <v>626</v>
      </c>
      <c r="AF8" s="17">
        <f t="shared" si="0"/>
        <v>1901</v>
      </c>
      <c r="AG8" s="3">
        <f t="shared" si="4"/>
        <v>2</v>
      </c>
      <c r="AH8" s="3">
        <f t="shared" si="5"/>
        <v>5</v>
      </c>
      <c r="AI8" s="3">
        <f t="shared" si="6"/>
        <v>20</v>
      </c>
      <c r="AJ8" s="3">
        <f t="shared" si="7"/>
        <v>1</v>
      </c>
      <c r="AK8" s="3">
        <f t="shared" si="8"/>
        <v>0</v>
      </c>
      <c r="AL8" s="3">
        <f t="shared" si="9"/>
        <v>25</v>
      </c>
      <c r="AM8" s="3">
        <f t="shared" si="10"/>
        <v>1</v>
      </c>
      <c r="AN8" s="3">
        <f t="shared" si="11"/>
        <v>8</v>
      </c>
      <c r="AO8" s="3">
        <f t="shared" si="12"/>
        <v>26</v>
      </c>
      <c r="AP8" s="3">
        <f t="shared" ref="AP8" si="16">INT(AF8/360)</f>
        <v>5</v>
      </c>
      <c r="AQ8" s="3">
        <f t="shared" ref="AQ8" si="17">INT(MOD(AF8,360)/30)</f>
        <v>3</v>
      </c>
      <c r="AR8" s="3">
        <f t="shared" ref="AR8" si="18">MOD(MOD(AF8,360),30)</f>
        <v>11</v>
      </c>
    </row>
    <row r="9" spans="1:44" x14ac:dyDescent="0.2">
      <c r="A9" s="4">
        <v>46194</v>
      </c>
      <c r="B9" s="10">
        <v>1</v>
      </c>
      <c r="C9" s="10">
        <v>4</v>
      </c>
      <c r="D9" s="10">
        <v>10</v>
      </c>
      <c r="E9" s="7">
        <v>0</v>
      </c>
      <c r="F9" s="7">
        <v>8</v>
      </c>
      <c r="G9" s="7">
        <v>7</v>
      </c>
      <c r="H9" s="13">
        <v>0</v>
      </c>
      <c r="I9" s="13">
        <v>3</v>
      </c>
      <c r="J9" s="13">
        <v>12</v>
      </c>
      <c r="K9" s="14">
        <f t="shared" si="1"/>
        <v>839</v>
      </c>
      <c r="L9" s="10">
        <v>0</v>
      </c>
      <c r="M9" s="10">
        <v>8</v>
      </c>
      <c r="N9" s="10">
        <v>11</v>
      </c>
      <c r="O9" s="7">
        <v>0</v>
      </c>
      <c r="P9" s="7">
        <v>6</v>
      </c>
      <c r="Q9" s="7">
        <v>9</v>
      </c>
      <c r="R9" s="13">
        <v>0</v>
      </c>
      <c r="S9" s="13">
        <v>2</v>
      </c>
      <c r="T9" s="13">
        <v>2</v>
      </c>
      <c r="U9" s="14">
        <f t="shared" si="2"/>
        <v>502</v>
      </c>
      <c r="V9" s="10">
        <v>0</v>
      </c>
      <c r="W9" s="10">
        <v>10</v>
      </c>
      <c r="X9" s="10">
        <v>11</v>
      </c>
      <c r="Y9" s="7">
        <v>0</v>
      </c>
      <c r="Z9" s="7">
        <v>9</v>
      </c>
      <c r="AA9" s="7">
        <v>24</v>
      </c>
      <c r="AB9" s="13">
        <v>0</v>
      </c>
      <c r="AC9" s="13">
        <v>3</v>
      </c>
      <c r="AD9" s="13">
        <v>29</v>
      </c>
      <c r="AE9" s="14">
        <f t="shared" si="3"/>
        <v>724</v>
      </c>
      <c r="AF9" s="17">
        <f t="shared" si="0"/>
        <v>2065</v>
      </c>
      <c r="AG9" s="3">
        <f t="shared" si="4"/>
        <v>2</v>
      </c>
      <c r="AH9" s="3">
        <f t="shared" si="5"/>
        <v>3</v>
      </c>
      <c r="AI9" s="3">
        <f t="shared" si="6"/>
        <v>29</v>
      </c>
      <c r="AJ9" s="3">
        <f t="shared" si="7"/>
        <v>1</v>
      </c>
      <c r="AK9" s="3">
        <f t="shared" si="8"/>
        <v>4</v>
      </c>
      <c r="AL9" s="3">
        <f t="shared" si="9"/>
        <v>22</v>
      </c>
      <c r="AM9" s="3">
        <f t="shared" si="10"/>
        <v>2</v>
      </c>
      <c r="AN9" s="3">
        <f t="shared" si="11"/>
        <v>0</v>
      </c>
      <c r="AO9" s="3">
        <f t="shared" si="12"/>
        <v>4</v>
      </c>
      <c r="AP9" s="3">
        <f t="shared" ref="AP9" si="19">INT(AF9/360)</f>
        <v>5</v>
      </c>
      <c r="AQ9" s="3">
        <f t="shared" ref="AQ9" si="20">INT(MOD(AF9,360)/30)</f>
        <v>8</v>
      </c>
      <c r="AR9" s="3">
        <f t="shared" ref="AR9" si="21">MOD(MOD(AF9,360),30)</f>
        <v>25</v>
      </c>
    </row>
    <row r="10" spans="1:44" x14ac:dyDescent="0.2">
      <c r="A10" s="4">
        <v>46195</v>
      </c>
      <c r="B10" s="10">
        <v>1</v>
      </c>
      <c r="C10" s="10">
        <v>5</v>
      </c>
      <c r="D10" s="10">
        <v>3</v>
      </c>
      <c r="E10" s="7">
        <v>0</v>
      </c>
      <c r="F10" s="7">
        <v>9</v>
      </c>
      <c r="G10" s="7">
        <v>0</v>
      </c>
      <c r="H10" s="13">
        <v>0</v>
      </c>
      <c r="I10" s="13">
        <v>2</v>
      </c>
      <c r="J10" s="13">
        <v>7</v>
      </c>
      <c r="K10" s="14">
        <f t="shared" si="1"/>
        <v>850</v>
      </c>
      <c r="L10" s="10">
        <v>0</v>
      </c>
      <c r="M10" s="10">
        <v>8</v>
      </c>
      <c r="N10" s="10">
        <v>1</v>
      </c>
      <c r="O10" s="7">
        <v>0</v>
      </c>
      <c r="P10" s="7">
        <v>7</v>
      </c>
      <c r="Q10" s="7">
        <v>13</v>
      </c>
      <c r="R10" s="13">
        <v>0</v>
      </c>
      <c r="S10" s="13">
        <v>1</v>
      </c>
      <c r="T10" s="13">
        <v>0</v>
      </c>
      <c r="U10" s="14">
        <f t="shared" si="2"/>
        <v>494</v>
      </c>
      <c r="V10" s="10">
        <v>1</v>
      </c>
      <c r="W10" s="10">
        <v>0</v>
      </c>
      <c r="X10" s="10">
        <v>2</v>
      </c>
      <c r="Y10" s="7">
        <v>0</v>
      </c>
      <c r="Z10" s="7">
        <v>10</v>
      </c>
      <c r="AA10" s="7">
        <v>20</v>
      </c>
      <c r="AB10" s="13">
        <v>0</v>
      </c>
      <c r="AC10" s="13">
        <v>1</v>
      </c>
      <c r="AD10" s="13">
        <v>13</v>
      </c>
      <c r="AE10" s="14">
        <f t="shared" si="3"/>
        <v>725</v>
      </c>
      <c r="AF10" s="17">
        <f t="shared" si="0"/>
        <v>2069</v>
      </c>
      <c r="AG10" s="3">
        <f t="shared" si="4"/>
        <v>2</v>
      </c>
      <c r="AH10" s="3">
        <f t="shared" si="5"/>
        <v>4</v>
      </c>
      <c r="AI10" s="3">
        <f t="shared" si="6"/>
        <v>10</v>
      </c>
      <c r="AJ10" s="3">
        <f t="shared" si="7"/>
        <v>1</v>
      </c>
      <c r="AK10" s="3">
        <f t="shared" si="8"/>
        <v>4</v>
      </c>
      <c r="AL10" s="3">
        <f t="shared" si="9"/>
        <v>14</v>
      </c>
      <c r="AM10" s="3">
        <f t="shared" si="10"/>
        <v>2</v>
      </c>
      <c r="AN10" s="3">
        <f t="shared" si="11"/>
        <v>0</v>
      </c>
      <c r="AO10" s="3">
        <f t="shared" si="12"/>
        <v>5</v>
      </c>
      <c r="AP10" s="3">
        <f t="shared" ref="AP10" si="22">INT(AF10/360)</f>
        <v>5</v>
      </c>
      <c r="AQ10" s="3">
        <f t="shared" ref="AQ10" si="23">INT(MOD(AF10,360)/30)</f>
        <v>8</v>
      </c>
      <c r="AR10" s="3">
        <f t="shared" ref="AR10" si="24">MOD(MOD(AF10,360),30)</f>
        <v>29</v>
      </c>
    </row>
    <row r="11" spans="1:44" x14ac:dyDescent="0.2">
      <c r="A11" s="4">
        <v>46196</v>
      </c>
      <c r="B11" s="10">
        <v>1</v>
      </c>
      <c r="C11" s="10">
        <v>7</v>
      </c>
      <c r="D11" s="10">
        <v>12</v>
      </c>
      <c r="E11" s="7">
        <v>0</v>
      </c>
      <c r="F11" s="7">
        <v>7</v>
      </c>
      <c r="G11" s="7">
        <v>7</v>
      </c>
      <c r="H11" s="13">
        <v>0</v>
      </c>
      <c r="I11" s="13">
        <v>2</v>
      </c>
      <c r="J11" s="13">
        <v>4</v>
      </c>
      <c r="K11" s="14">
        <f t="shared" si="1"/>
        <v>863</v>
      </c>
      <c r="L11" s="10">
        <v>0</v>
      </c>
      <c r="M11" s="10">
        <v>10</v>
      </c>
      <c r="N11" s="10">
        <v>5</v>
      </c>
      <c r="O11" s="7">
        <v>0</v>
      </c>
      <c r="P11" s="7">
        <v>6</v>
      </c>
      <c r="Q11" s="7">
        <v>4</v>
      </c>
      <c r="R11" s="13">
        <v>0</v>
      </c>
      <c r="S11" s="13">
        <v>2</v>
      </c>
      <c r="T11" s="13">
        <v>2</v>
      </c>
      <c r="U11" s="14">
        <f t="shared" si="2"/>
        <v>551</v>
      </c>
      <c r="V11" s="10">
        <v>1</v>
      </c>
      <c r="W11" s="10">
        <v>2</v>
      </c>
      <c r="X11" s="10">
        <v>8</v>
      </c>
      <c r="Y11" s="7">
        <v>0</v>
      </c>
      <c r="Z11" s="7">
        <v>9</v>
      </c>
      <c r="AA11" s="7">
        <v>14</v>
      </c>
      <c r="AB11" s="13">
        <v>0</v>
      </c>
      <c r="AC11" s="13">
        <v>3</v>
      </c>
      <c r="AD11" s="13">
        <v>3</v>
      </c>
      <c r="AE11" s="14">
        <f t="shared" si="3"/>
        <v>805</v>
      </c>
      <c r="AF11" s="17">
        <f t="shared" si="0"/>
        <v>2219</v>
      </c>
      <c r="AG11" s="3">
        <f t="shared" si="4"/>
        <v>2</v>
      </c>
      <c r="AH11" s="3">
        <f t="shared" si="5"/>
        <v>4</v>
      </c>
      <c r="AI11" s="3">
        <f t="shared" si="6"/>
        <v>23</v>
      </c>
      <c r="AJ11" s="3">
        <f t="shared" ref="AJ11:AJ12" si="25">INT(U11/360)</f>
        <v>1</v>
      </c>
      <c r="AK11" s="3">
        <f t="shared" ref="AK11:AK12" si="26">INT(MOD(U11,360)/30)</f>
        <v>6</v>
      </c>
      <c r="AL11" s="3">
        <f t="shared" ref="AL11:AL12" si="27">MOD(U11,30)</f>
        <v>11</v>
      </c>
      <c r="AM11" s="3">
        <f>INT(AE11/360)</f>
        <v>2</v>
      </c>
      <c r="AN11" s="3">
        <f t="shared" si="11"/>
        <v>2</v>
      </c>
      <c r="AO11" s="3">
        <f t="shared" si="12"/>
        <v>25</v>
      </c>
      <c r="AP11" s="3">
        <f t="shared" ref="AP11" si="28">INT(AF11/360)</f>
        <v>6</v>
      </c>
      <c r="AQ11" s="3">
        <f t="shared" ref="AQ11" si="29">INT(MOD(AF11,360)/30)</f>
        <v>1</v>
      </c>
      <c r="AR11" s="3">
        <f t="shared" ref="AR11" si="30">MOD(MOD(AF11,360),30)</f>
        <v>29</v>
      </c>
    </row>
    <row r="12" spans="1:44" x14ac:dyDescent="0.2">
      <c r="A12" s="4">
        <v>46197</v>
      </c>
      <c r="B12" s="10">
        <v>1</v>
      </c>
      <c r="C12" s="10">
        <v>7</v>
      </c>
      <c r="D12" s="10">
        <v>7</v>
      </c>
      <c r="E12" s="7">
        <v>0</v>
      </c>
      <c r="F12" s="7">
        <v>7</v>
      </c>
      <c r="G12" s="7">
        <v>18</v>
      </c>
      <c r="H12" s="13">
        <v>0</v>
      </c>
      <c r="I12" s="13">
        <v>1</v>
      </c>
      <c r="J12" s="13">
        <v>17</v>
      </c>
      <c r="K12" s="14">
        <f t="shared" si="1"/>
        <v>852</v>
      </c>
      <c r="L12" s="10">
        <v>0</v>
      </c>
      <c r="M12" s="10">
        <v>10</v>
      </c>
      <c r="N12" s="10">
        <v>1</v>
      </c>
      <c r="O12" s="7">
        <v>0</v>
      </c>
      <c r="P12" s="7">
        <v>6</v>
      </c>
      <c r="Q12" s="7">
        <v>3</v>
      </c>
      <c r="R12" s="13">
        <v>0</v>
      </c>
      <c r="S12" s="13">
        <v>1</v>
      </c>
      <c r="T12" s="13">
        <v>11</v>
      </c>
      <c r="U12" s="14">
        <f t="shared" si="2"/>
        <v>525</v>
      </c>
      <c r="V12" s="10">
        <v>1</v>
      </c>
      <c r="W12" s="10">
        <v>4</v>
      </c>
      <c r="X12" s="10">
        <v>10</v>
      </c>
      <c r="Y12" s="7">
        <v>0</v>
      </c>
      <c r="Z12" s="7">
        <v>8</v>
      </c>
      <c r="AA12" s="7">
        <v>10</v>
      </c>
      <c r="AB12" s="13">
        <v>0</v>
      </c>
      <c r="AC12" s="13">
        <v>1</v>
      </c>
      <c r="AD12" s="13">
        <v>26</v>
      </c>
      <c r="AE12" s="14">
        <f t="shared" si="3"/>
        <v>796</v>
      </c>
      <c r="AF12" s="17">
        <f t="shared" si="0"/>
        <v>2173</v>
      </c>
      <c r="AG12" s="3">
        <f>INT(K12/360)</f>
        <v>2</v>
      </c>
      <c r="AH12" s="3">
        <f t="shared" ref="AH12" si="31">INT(MOD(K12,360)/30)</f>
        <v>4</v>
      </c>
      <c r="AI12" s="3">
        <f t="shared" ref="AI12" si="32">MOD(K12,30)</f>
        <v>12</v>
      </c>
      <c r="AJ12" s="3">
        <f t="shared" si="25"/>
        <v>1</v>
      </c>
      <c r="AK12" s="3">
        <f t="shared" si="26"/>
        <v>5</v>
      </c>
      <c r="AL12" s="3">
        <f t="shared" si="27"/>
        <v>15</v>
      </c>
      <c r="AM12" s="3">
        <f>INT(AE12/360)</f>
        <v>2</v>
      </c>
      <c r="AN12" s="3">
        <f t="shared" ref="AN12" si="33">INT(MOD(AE12,360)/30)</f>
        <v>2</v>
      </c>
      <c r="AO12" s="3">
        <f t="shared" ref="AO12" si="34">MOD(AE12,30)</f>
        <v>16</v>
      </c>
      <c r="AP12" s="3">
        <f t="shared" ref="AP12" si="35">INT(AF12/360)</f>
        <v>6</v>
      </c>
      <c r="AQ12" s="3">
        <f t="shared" ref="AQ12" si="36">INT(MOD(AF12,360)/30)</f>
        <v>0</v>
      </c>
      <c r="AR12" s="3">
        <f t="shared" ref="AR12" si="37">MOD(MOD(AF12,360),30)</f>
        <v>13</v>
      </c>
    </row>
    <row r="13" spans="1:44" x14ac:dyDescent="0.2">
      <c r="A13" s="4">
        <v>46198</v>
      </c>
      <c r="B13" s="10">
        <v>1</v>
      </c>
      <c r="C13" s="10">
        <v>7</v>
      </c>
      <c r="D13" s="10">
        <v>12</v>
      </c>
      <c r="E13" s="7">
        <v>0</v>
      </c>
      <c r="F13" s="7">
        <v>7</v>
      </c>
      <c r="G13" s="7">
        <v>1</v>
      </c>
      <c r="H13" s="13">
        <v>0</v>
      </c>
      <c r="I13" s="13">
        <v>1</v>
      </c>
      <c r="J13" s="13">
        <v>17</v>
      </c>
      <c r="K13" s="14">
        <f t="shared" si="1"/>
        <v>840</v>
      </c>
      <c r="L13" s="10">
        <v>0</v>
      </c>
      <c r="M13" s="10">
        <v>10</v>
      </c>
      <c r="N13" s="10">
        <v>4</v>
      </c>
      <c r="O13" s="7">
        <v>0</v>
      </c>
      <c r="P13" s="7">
        <v>7</v>
      </c>
      <c r="Q13" s="7">
        <v>4</v>
      </c>
      <c r="R13" s="13">
        <v>0</v>
      </c>
      <c r="S13" s="13">
        <v>1</v>
      </c>
      <c r="T13" s="13">
        <v>11</v>
      </c>
      <c r="U13" s="14">
        <f t="shared" si="2"/>
        <v>559</v>
      </c>
      <c r="V13" s="10">
        <v>1</v>
      </c>
      <c r="W13" s="10">
        <v>7</v>
      </c>
      <c r="X13" s="10">
        <v>2</v>
      </c>
      <c r="Y13" s="7">
        <v>0</v>
      </c>
      <c r="Z13" s="7">
        <v>8</v>
      </c>
      <c r="AA13" s="7">
        <v>2</v>
      </c>
      <c r="AB13" s="13">
        <v>0</v>
      </c>
      <c r="AC13" s="13">
        <v>1</v>
      </c>
      <c r="AD13" s="13">
        <v>26</v>
      </c>
      <c r="AE13" s="14">
        <f t="shared" si="3"/>
        <v>870</v>
      </c>
      <c r="AF13" s="17">
        <f t="shared" si="0"/>
        <v>2269</v>
      </c>
      <c r="AG13" s="3">
        <f t="shared" ref="AG13:AG14" si="38">INT(K13/360)</f>
        <v>2</v>
      </c>
      <c r="AH13" s="3">
        <f t="shared" ref="AH13:AH14" si="39">INT(MOD(K13,360)/30)</f>
        <v>4</v>
      </c>
      <c r="AI13" s="3">
        <f t="shared" ref="AI13:AI14" si="40">MOD(K13,30)</f>
        <v>0</v>
      </c>
      <c r="AJ13" s="3">
        <f t="shared" ref="AJ13:AJ14" si="41">INT(U13/360)</f>
        <v>1</v>
      </c>
      <c r="AK13" s="3">
        <f t="shared" ref="AK13:AK14" si="42">INT(MOD(U13,360)/30)</f>
        <v>6</v>
      </c>
      <c r="AL13" s="3">
        <f t="shared" ref="AL13:AL14" si="43">MOD(U13,30)</f>
        <v>19</v>
      </c>
      <c r="AM13" s="3">
        <f>INT(AE13/360)</f>
        <v>2</v>
      </c>
      <c r="AN13" s="3">
        <f t="shared" ref="AN13" si="44">INT(MOD(AE13,360)/30)</f>
        <v>5</v>
      </c>
      <c r="AO13" s="3">
        <f t="shared" ref="AO13" si="45">MOD(AE13,30)</f>
        <v>0</v>
      </c>
      <c r="AP13" s="3">
        <f t="shared" ref="AP13" si="46">INT(AF13/360)</f>
        <v>6</v>
      </c>
      <c r="AQ13" s="3">
        <f t="shared" ref="AQ13" si="47">INT(MOD(AF13,360)/30)</f>
        <v>3</v>
      </c>
      <c r="AR13" s="3">
        <f t="shared" ref="AR13" si="48">MOD(MOD(AF13,360),30)</f>
        <v>19</v>
      </c>
    </row>
    <row r="14" spans="1:44" x14ac:dyDescent="0.2">
      <c r="A14" s="4">
        <v>46199</v>
      </c>
      <c r="B14" s="10">
        <v>1</v>
      </c>
      <c r="C14" s="10">
        <v>7</v>
      </c>
      <c r="D14" s="10">
        <v>17</v>
      </c>
      <c r="E14" s="7">
        <v>0</v>
      </c>
      <c r="F14" s="7">
        <v>8</v>
      </c>
      <c r="G14" s="7">
        <v>23</v>
      </c>
      <c r="H14" s="13">
        <v>0</v>
      </c>
      <c r="I14" s="13">
        <v>1</v>
      </c>
      <c r="J14" s="13">
        <v>20</v>
      </c>
      <c r="K14" s="14">
        <f t="shared" si="1"/>
        <v>900</v>
      </c>
      <c r="L14" s="10">
        <v>1</v>
      </c>
      <c r="M14" s="10">
        <v>0</v>
      </c>
      <c r="N14" s="10">
        <v>12</v>
      </c>
      <c r="O14" s="7">
        <v>0</v>
      </c>
      <c r="P14" s="7">
        <v>8</v>
      </c>
      <c r="Q14" s="7">
        <v>12</v>
      </c>
      <c r="R14" s="13">
        <v>0</v>
      </c>
      <c r="S14" s="13">
        <v>1</v>
      </c>
      <c r="T14" s="13">
        <v>22</v>
      </c>
      <c r="U14" s="14">
        <f t="shared" si="2"/>
        <v>676</v>
      </c>
      <c r="V14" s="10">
        <v>1</v>
      </c>
      <c r="W14" s="10">
        <v>9</v>
      </c>
      <c r="X14" s="10">
        <v>21</v>
      </c>
      <c r="Y14" s="7">
        <v>0</v>
      </c>
      <c r="Z14" s="7">
        <v>10</v>
      </c>
      <c r="AA14" s="7">
        <v>21</v>
      </c>
      <c r="AB14" s="13">
        <v>0</v>
      </c>
      <c r="AC14" s="13">
        <v>2</v>
      </c>
      <c r="AD14" s="13">
        <v>21</v>
      </c>
      <c r="AE14" s="14">
        <f t="shared" si="3"/>
        <v>1053</v>
      </c>
      <c r="AF14" s="17">
        <f t="shared" si="0"/>
        <v>2629</v>
      </c>
      <c r="AG14" s="3">
        <f t="shared" si="38"/>
        <v>2</v>
      </c>
      <c r="AH14" s="3">
        <f t="shared" si="39"/>
        <v>6</v>
      </c>
      <c r="AI14" s="3">
        <f t="shared" si="40"/>
        <v>0</v>
      </c>
      <c r="AJ14" s="3">
        <f t="shared" si="41"/>
        <v>1</v>
      </c>
      <c r="AK14" s="3">
        <f t="shared" si="42"/>
        <v>10</v>
      </c>
      <c r="AL14" s="3">
        <f t="shared" si="43"/>
        <v>16</v>
      </c>
      <c r="AM14" s="3">
        <f>INT(AE14/360)</f>
        <v>2</v>
      </c>
      <c r="AN14" s="3">
        <f t="shared" ref="AN14" si="49">INT(MOD(AE14,360)/30)</f>
        <v>11</v>
      </c>
      <c r="AO14" s="3">
        <f t="shared" ref="AO14" si="50">MOD(AE14,30)</f>
        <v>3</v>
      </c>
      <c r="AP14" s="3">
        <f t="shared" ref="AP14" si="51">INT(AF14/360)</f>
        <v>7</v>
      </c>
      <c r="AQ14" s="3">
        <f t="shared" ref="AQ14" si="52">INT(MOD(AF14,360)/30)</f>
        <v>3</v>
      </c>
      <c r="AR14" s="3">
        <f t="shared" ref="AR14" si="53">MOD(MOD(AF14,360),30)</f>
        <v>19</v>
      </c>
    </row>
    <row r="15" spans="1:44" x14ac:dyDescent="0.2">
      <c r="A15" s="4">
        <v>46200</v>
      </c>
      <c r="B15" s="10">
        <v>1</v>
      </c>
      <c r="C15" s="10">
        <v>3</v>
      </c>
      <c r="D15" s="10">
        <v>18</v>
      </c>
      <c r="E15" s="7">
        <v>0</v>
      </c>
      <c r="F15" s="7">
        <v>10</v>
      </c>
      <c r="G15" s="7">
        <v>2</v>
      </c>
      <c r="H15" s="13">
        <v>0</v>
      </c>
      <c r="I15" s="13">
        <v>1</v>
      </c>
      <c r="J15" s="13">
        <v>13</v>
      </c>
      <c r="K15" s="14">
        <f t="shared" si="1"/>
        <v>813</v>
      </c>
      <c r="L15" s="10">
        <v>0</v>
      </c>
      <c r="M15" s="10">
        <v>10</v>
      </c>
      <c r="N15" s="10">
        <v>6</v>
      </c>
      <c r="O15" s="7">
        <v>0</v>
      </c>
      <c r="P15" s="7">
        <v>7</v>
      </c>
      <c r="Q15" s="7">
        <v>26</v>
      </c>
      <c r="R15" s="13">
        <v>0</v>
      </c>
      <c r="S15" s="13">
        <v>1</v>
      </c>
      <c r="T15" s="13">
        <v>6</v>
      </c>
      <c r="U15" s="14">
        <f t="shared" si="2"/>
        <v>578</v>
      </c>
      <c r="V15" s="10">
        <v>1</v>
      </c>
      <c r="W15" s="10">
        <v>8</v>
      </c>
      <c r="X15" s="10">
        <v>4</v>
      </c>
      <c r="Y15" s="7">
        <v>0</v>
      </c>
      <c r="Z15" s="7">
        <v>10</v>
      </c>
      <c r="AA15" s="7">
        <v>18</v>
      </c>
      <c r="AB15" s="13">
        <v>0</v>
      </c>
      <c r="AC15" s="13">
        <v>1</v>
      </c>
      <c r="AD15" s="13">
        <v>19</v>
      </c>
      <c r="AE15" s="14">
        <f t="shared" si="3"/>
        <v>971</v>
      </c>
      <c r="AF15" s="17">
        <f t="shared" si="0"/>
        <v>2362</v>
      </c>
      <c r="AG15" s="3">
        <f t="shared" ref="AG15:AG16" si="54">INT(K15/360)</f>
        <v>2</v>
      </c>
      <c r="AH15" s="3">
        <f t="shared" ref="AH15:AH16" si="55">INT(MOD(K15,360)/30)</f>
        <v>3</v>
      </c>
      <c r="AI15" s="3">
        <f t="shared" ref="AI15:AI16" si="56">MOD(K15,30)</f>
        <v>3</v>
      </c>
      <c r="AJ15" s="3">
        <f t="shared" ref="AJ15:AJ16" si="57">INT(U15/360)</f>
        <v>1</v>
      </c>
      <c r="AK15" s="3">
        <f t="shared" ref="AK15:AK16" si="58">INT(MOD(U15,360)/30)</f>
        <v>7</v>
      </c>
      <c r="AL15" s="3">
        <f t="shared" ref="AL15:AL16" si="59">MOD(U15,30)</f>
        <v>8</v>
      </c>
      <c r="AM15" s="3">
        <f t="shared" ref="AM15:AM16" si="60">INT(AE15/360)</f>
        <v>2</v>
      </c>
      <c r="AN15" s="3">
        <f t="shared" ref="AN15:AN16" si="61">INT(MOD(AE15,360)/30)</f>
        <v>8</v>
      </c>
      <c r="AO15" s="3">
        <f t="shared" ref="AO15:AO16" si="62">MOD(AE15,30)</f>
        <v>11</v>
      </c>
      <c r="AP15" s="3">
        <f t="shared" ref="AP15:AP16" si="63">INT(AF15/360)</f>
        <v>6</v>
      </c>
      <c r="AQ15" s="3">
        <f t="shared" ref="AQ15:AQ16" si="64">INT(MOD(AF15,360)/30)</f>
        <v>6</v>
      </c>
      <c r="AR15" s="3">
        <f t="shared" ref="AR15:AR16" si="65">MOD(MOD(AF15,360),30)</f>
        <v>22</v>
      </c>
    </row>
    <row r="16" spans="1:44" x14ac:dyDescent="0.2">
      <c r="A16" s="4">
        <v>46201</v>
      </c>
      <c r="B16" s="10">
        <v>1</v>
      </c>
      <c r="C16" s="10">
        <v>0</v>
      </c>
      <c r="D16" s="10">
        <v>0</v>
      </c>
      <c r="E16" s="7">
        <v>0</v>
      </c>
      <c r="F16" s="7">
        <v>9</v>
      </c>
      <c r="G16" s="7">
        <v>18</v>
      </c>
      <c r="H16" s="13">
        <v>0</v>
      </c>
      <c r="I16" s="13">
        <v>4</v>
      </c>
      <c r="J16" s="13">
        <v>19</v>
      </c>
      <c r="K16" s="14">
        <f t="shared" si="1"/>
        <v>787</v>
      </c>
      <c r="L16" s="10">
        <v>0</v>
      </c>
      <c r="M16" s="10">
        <v>9</v>
      </c>
      <c r="N16" s="10">
        <v>14</v>
      </c>
      <c r="O16" s="7">
        <v>0</v>
      </c>
      <c r="P16" s="7">
        <v>8</v>
      </c>
      <c r="Q16" s="7">
        <v>16</v>
      </c>
      <c r="R16" s="13">
        <v>0</v>
      </c>
      <c r="S16" s="13">
        <v>3</v>
      </c>
      <c r="T16" s="13">
        <v>10</v>
      </c>
      <c r="U16" s="14">
        <f t="shared" si="2"/>
        <v>640</v>
      </c>
      <c r="V16" s="10">
        <v>1</v>
      </c>
      <c r="W16" s="10">
        <v>7</v>
      </c>
      <c r="X16" s="10">
        <v>1</v>
      </c>
      <c r="Y16" s="7">
        <v>0</v>
      </c>
      <c r="Z16" s="7">
        <v>10</v>
      </c>
      <c r="AA16" s="7">
        <v>24</v>
      </c>
      <c r="AB16" s="13">
        <v>0</v>
      </c>
      <c r="AC16" s="13">
        <v>3</v>
      </c>
      <c r="AD16" s="13">
        <v>29</v>
      </c>
      <c r="AE16" s="14">
        <f t="shared" si="3"/>
        <v>1014</v>
      </c>
      <c r="AF16" s="17">
        <f t="shared" si="0"/>
        <v>2441</v>
      </c>
      <c r="AG16" s="3">
        <f t="shared" si="54"/>
        <v>2</v>
      </c>
      <c r="AH16" s="3">
        <f t="shared" si="55"/>
        <v>2</v>
      </c>
      <c r="AI16" s="3">
        <f t="shared" si="56"/>
        <v>7</v>
      </c>
      <c r="AJ16" s="3">
        <f t="shared" si="57"/>
        <v>1</v>
      </c>
      <c r="AK16" s="3">
        <f t="shared" si="58"/>
        <v>9</v>
      </c>
      <c r="AL16" s="3">
        <f t="shared" si="59"/>
        <v>10</v>
      </c>
      <c r="AM16" s="3">
        <f t="shared" si="60"/>
        <v>2</v>
      </c>
      <c r="AN16" s="3">
        <f t="shared" si="61"/>
        <v>9</v>
      </c>
      <c r="AO16" s="3">
        <f t="shared" si="62"/>
        <v>24</v>
      </c>
      <c r="AP16" s="3">
        <f t="shared" si="63"/>
        <v>6</v>
      </c>
      <c r="AQ16" s="3">
        <f t="shared" si="64"/>
        <v>9</v>
      </c>
      <c r="AR16" s="3">
        <f t="shared" si="65"/>
        <v>11</v>
      </c>
    </row>
    <row r="17" spans="1:44" x14ac:dyDescent="0.2">
      <c r="A17" s="4">
        <v>46202</v>
      </c>
      <c r="B17" s="10">
        <v>1</v>
      </c>
      <c r="C17" s="10">
        <v>1</v>
      </c>
      <c r="D17" s="10">
        <v>15</v>
      </c>
      <c r="E17" s="7">
        <v>0</v>
      </c>
      <c r="F17" s="7">
        <v>10</v>
      </c>
      <c r="G17" s="7">
        <v>12</v>
      </c>
      <c r="H17" s="13">
        <v>0</v>
      </c>
      <c r="I17" s="13">
        <v>2</v>
      </c>
      <c r="J17" s="13">
        <v>26</v>
      </c>
      <c r="K17" s="14">
        <f t="shared" si="1"/>
        <v>803</v>
      </c>
      <c r="L17" s="10">
        <v>0</v>
      </c>
      <c r="M17" s="10">
        <v>10</v>
      </c>
      <c r="N17" s="10">
        <v>20</v>
      </c>
      <c r="O17" s="7">
        <v>0</v>
      </c>
      <c r="P17" s="7">
        <v>9</v>
      </c>
      <c r="Q17" s="7">
        <v>19</v>
      </c>
      <c r="R17" s="13">
        <v>0</v>
      </c>
      <c r="S17" s="13">
        <v>2</v>
      </c>
      <c r="T17" s="13">
        <v>1</v>
      </c>
      <c r="U17" s="14">
        <f t="shared" si="2"/>
        <v>670</v>
      </c>
      <c r="V17" s="10">
        <v>2</v>
      </c>
      <c r="W17" s="10">
        <v>0</v>
      </c>
      <c r="X17" s="10">
        <v>24</v>
      </c>
      <c r="Y17" s="7">
        <v>0</v>
      </c>
      <c r="Z17" s="7">
        <v>8</v>
      </c>
      <c r="AA17" s="7">
        <v>10</v>
      </c>
      <c r="AB17" s="13">
        <v>0</v>
      </c>
      <c r="AC17" s="13">
        <v>2</v>
      </c>
      <c r="AD17" s="13">
        <v>20</v>
      </c>
      <c r="AE17" s="14">
        <f t="shared" si="3"/>
        <v>1074</v>
      </c>
      <c r="AF17" s="17">
        <f t="shared" si="0"/>
        <v>2547</v>
      </c>
      <c r="AG17" s="3">
        <f t="shared" ref="AG17" si="66">INT(K17/360)</f>
        <v>2</v>
      </c>
      <c r="AH17" s="3">
        <f t="shared" ref="AH17" si="67">INT(MOD(K17,360)/30)</f>
        <v>2</v>
      </c>
      <c r="AI17" s="3">
        <f t="shared" ref="AI17" si="68">MOD(K17,30)</f>
        <v>23</v>
      </c>
      <c r="AJ17" s="3">
        <f t="shared" ref="AJ17" si="69">INT(U17/360)</f>
        <v>1</v>
      </c>
      <c r="AK17" s="3">
        <f t="shared" ref="AK17" si="70">INT(MOD(U17,360)/30)</f>
        <v>10</v>
      </c>
      <c r="AL17" s="3">
        <f t="shared" ref="AL17" si="71">MOD(U17,30)</f>
        <v>10</v>
      </c>
      <c r="AM17" s="3">
        <f t="shared" ref="AM17" si="72">INT(AE17/360)</f>
        <v>2</v>
      </c>
      <c r="AN17" s="3">
        <f t="shared" ref="AN17" si="73">INT(MOD(AE17,360)/30)</f>
        <v>11</v>
      </c>
      <c r="AO17" s="3">
        <f t="shared" ref="AO17" si="74">MOD(AE17,30)</f>
        <v>24</v>
      </c>
      <c r="AP17" s="3">
        <f t="shared" ref="AP17" si="75">INT(AF17/360)</f>
        <v>7</v>
      </c>
      <c r="AQ17" s="3">
        <f t="shared" ref="AQ17" si="76">INT(MOD(AF17,360)/30)</f>
        <v>0</v>
      </c>
      <c r="AR17" s="3">
        <f t="shared" ref="AR17" si="77">MOD(MOD(AF17,360),30)</f>
        <v>27</v>
      </c>
    </row>
    <row r="18" spans="1:44" x14ac:dyDescent="0.2">
      <c r="A18" s="4">
        <v>46203</v>
      </c>
      <c r="B18" s="10">
        <v>1</v>
      </c>
      <c r="C18" s="10">
        <v>0</v>
      </c>
      <c r="D18" s="10">
        <v>9</v>
      </c>
      <c r="E18" s="7">
        <v>1</v>
      </c>
      <c r="F18" s="7">
        <v>0</v>
      </c>
      <c r="G18" s="7">
        <v>12</v>
      </c>
      <c r="H18" s="13">
        <v>0</v>
      </c>
      <c r="I18" s="13">
        <v>2</v>
      </c>
      <c r="J18" s="13">
        <v>23</v>
      </c>
      <c r="K18" s="14">
        <f t="shared" si="1"/>
        <v>824</v>
      </c>
      <c r="L18" s="10">
        <v>0</v>
      </c>
      <c r="M18" s="10">
        <v>10</v>
      </c>
      <c r="N18" s="10">
        <v>12</v>
      </c>
      <c r="O18" s="7">
        <v>0</v>
      </c>
      <c r="P18" s="7">
        <v>8</v>
      </c>
      <c r="Q18" s="7">
        <v>18</v>
      </c>
      <c r="R18" s="13">
        <v>0</v>
      </c>
      <c r="S18" s="13">
        <v>1</v>
      </c>
      <c r="T18" s="13">
        <v>22</v>
      </c>
      <c r="U18" s="14">
        <f t="shared" si="2"/>
        <v>622</v>
      </c>
      <c r="V18" s="10">
        <v>0</v>
      </c>
      <c r="W18" s="10">
        <v>21</v>
      </c>
      <c r="X18" s="10">
        <v>24</v>
      </c>
      <c r="Y18" s="7">
        <v>1</v>
      </c>
      <c r="Z18" s="7">
        <v>1</v>
      </c>
      <c r="AA18" s="7">
        <v>2</v>
      </c>
      <c r="AB18" s="13">
        <v>0</v>
      </c>
      <c r="AC18" s="13">
        <v>2</v>
      </c>
      <c r="AD18" s="13">
        <v>6</v>
      </c>
      <c r="AE18" s="14">
        <f t="shared" si="3"/>
        <v>1112</v>
      </c>
      <c r="AF18" s="17">
        <f t="shared" si="0"/>
        <v>2558</v>
      </c>
      <c r="AG18" s="3">
        <f t="shared" ref="AG18" si="78">INT(K18/360)</f>
        <v>2</v>
      </c>
      <c r="AH18" s="3">
        <f t="shared" ref="AH18" si="79">INT(MOD(K18,360)/30)</f>
        <v>3</v>
      </c>
      <c r="AI18" s="3">
        <f t="shared" ref="AI18" si="80">MOD(K18,30)</f>
        <v>14</v>
      </c>
      <c r="AJ18" s="3">
        <f t="shared" ref="AJ18" si="81">INT(U18/360)</f>
        <v>1</v>
      </c>
      <c r="AK18" s="3">
        <f t="shared" ref="AK18" si="82">INT(MOD(U18,360)/30)</f>
        <v>8</v>
      </c>
      <c r="AL18" s="3">
        <f t="shared" ref="AL18" si="83">MOD(U18,30)</f>
        <v>22</v>
      </c>
      <c r="AM18" s="3">
        <f t="shared" ref="AM18" si="84">INT(AE18/360)</f>
        <v>3</v>
      </c>
      <c r="AN18" s="3">
        <f t="shared" ref="AN18" si="85">INT(MOD(AE18,360)/30)</f>
        <v>1</v>
      </c>
      <c r="AO18" s="3">
        <f t="shared" ref="AO18" si="86">MOD(AE18,30)</f>
        <v>2</v>
      </c>
      <c r="AP18" s="3">
        <f t="shared" ref="AP18" si="87">INT(AF18/360)</f>
        <v>7</v>
      </c>
      <c r="AQ18" s="3">
        <f t="shared" ref="AQ18" si="88">INT(MOD(AF18,360)/30)</f>
        <v>1</v>
      </c>
      <c r="AR18" s="3">
        <f t="shared" ref="AR18" si="89">MOD(MOD(AF18,360),30)</f>
        <v>8</v>
      </c>
    </row>
    <row r="19" spans="1:44" x14ac:dyDescent="0.2">
      <c r="A19" s="4">
        <v>46204</v>
      </c>
      <c r="B19" s="10">
        <v>1</v>
      </c>
      <c r="C19" s="10">
        <v>1</v>
      </c>
      <c r="D19" s="10">
        <v>8</v>
      </c>
      <c r="E19" s="7">
        <v>0</v>
      </c>
      <c r="F19" s="7">
        <v>9</v>
      </c>
      <c r="G19" s="7">
        <v>9</v>
      </c>
      <c r="H19" s="13">
        <v>0</v>
      </c>
      <c r="I19" s="13">
        <v>4</v>
      </c>
      <c r="J19" s="13">
        <v>11</v>
      </c>
      <c r="K19" s="14">
        <f t="shared" si="1"/>
        <v>808</v>
      </c>
      <c r="L19" s="10">
        <v>1</v>
      </c>
      <c r="M19" s="10">
        <v>1</v>
      </c>
      <c r="N19" s="10">
        <v>28</v>
      </c>
      <c r="O19" s="7">
        <v>0</v>
      </c>
      <c r="P19" s="7">
        <v>8</v>
      </c>
      <c r="Q19" s="7">
        <v>23</v>
      </c>
      <c r="R19" s="13">
        <v>0</v>
      </c>
      <c r="S19" s="13">
        <v>1</v>
      </c>
      <c r="T19" s="13">
        <v>4</v>
      </c>
      <c r="U19" s="14">
        <f t="shared" si="2"/>
        <v>715</v>
      </c>
      <c r="V19" s="10">
        <v>2</v>
      </c>
      <c r="W19" s="10">
        <v>2</v>
      </c>
      <c r="X19" s="10">
        <v>15</v>
      </c>
      <c r="Y19" s="7">
        <v>0</v>
      </c>
      <c r="Z19" s="7">
        <v>9</v>
      </c>
      <c r="AA19" s="7">
        <v>11</v>
      </c>
      <c r="AB19" s="13">
        <v>0</v>
      </c>
      <c r="AC19" s="13">
        <v>1</v>
      </c>
      <c r="AD19" s="13">
        <v>11</v>
      </c>
      <c r="AE19" s="14">
        <f t="shared" si="3"/>
        <v>1117</v>
      </c>
      <c r="AF19" s="17">
        <f t="shared" si="0"/>
        <v>2640</v>
      </c>
      <c r="AG19" s="3">
        <f t="shared" ref="AG19" si="90">INT(K19/360)</f>
        <v>2</v>
      </c>
      <c r="AH19" s="3">
        <f t="shared" ref="AH19" si="91">INT(MOD(K19,360)/30)</f>
        <v>2</v>
      </c>
      <c r="AI19" s="3">
        <f t="shared" ref="AI19" si="92">MOD(K19,30)</f>
        <v>28</v>
      </c>
      <c r="AJ19" s="3">
        <f t="shared" ref="AJ19" si="93">INT(U19/360)</f>
        <v>1</v>
      </c>
      <c r="AK19" s="3">
        <f t="shared" ref="AK19" si="94">INT(MOD(U19,360)/30)</f>
        <v>11</v>
      </c>
      <c r="AL19" s="3">
        <f t="shared" ref="AL19" si="95">MOD(U19,30)</f>
        <v>25</v>
      </c>
      <c r="AM19" s="3">
        <f t="shared" ref="AM19" si="96">INT(AE19/360)</f>
        <v>3</v>
      </c>
      <c r="AN19" s="3">
        <f t="shared" ref="AN19" si="97">INT(MOD(AE19,360)/30)</f>
        <v>1</v>
      </c>
      <c r="AO19" s="3">
        <f t="shared" ref="AO19" si="98">MOD(AE19,30)</f>
        <v>7</v>
      </c>
      <c r="AP19" s="3">
        <f t="shared" ref="AP19" si="99">INT(AF19/360)</f>
        <v>7</v>
      </c>
      <c r="AQ19" s="3">
        <f t="shared" ref="AQ19" si="100">INT(MOD(AF19,360)/30)</f>
        <v>4</v>
      </c>
      <c r="AR19" s="3">
        <f t="shared" ref="AR19" si="101">MOD(MOD(AF19,360),30)</f>
        <v>0</v>
      </c>
    </row>
    <row r="20" spans="1:44" x14ac:dyDescent="0.2">
      <c r="A20" s="4">
        <v>46205</v>
      </c>
      <c r="B20" s="10">
        <v>1</v>
      </c>
      <c r="C20" s="10">
        <v>1</v>
      </c>
      <c r="D20" s="10">
        <v>10</v>
      </c>
      <c r="E20" s="7">
        <v>0</v>
      </c>
      <c r="F20" s="7">
        <v>9</v>
      </c>
      <c r="G20" s="7">
        <v>23</v>
      </c>
      <c r="H20" s="13">
        <v>0</v>
      </c>
      <c r="I20" s="13">
        <v>1</v>
      </c>
      <c r="J20" s="13">
        <v>22</v>
      </c>
      <c r="K20" s="14">
        <f t="shared" si="1"/>
        <v>745</v>
      </c>
      <c r="L20" s="10">
        <v>1</v>
      </c>
      <c r="M20" s="10">
        <v>0</v>
      </c>
      <c r="N20" s="10">
        <v>27</v>
      </c>
      <c r="O20" s="7">
        <v>0</v>
      </c>
      <c r="P20" s="7">
        <v>9</v>
      </c>
      <c r="Q20" s="7">
        <v>24</v>
      </c>
      <c r="R20" s="13">
        <v>0</v>
      </c>
      <c r="S20" s="13">
        <v>1</v>
      </c>
      <c r="T20" s="13">
        <v>10</v>
      </c>
      <c r="U20" s="14">
        <f t="shared" si="2"/>
        <v>721</v>
      </c>
      <c r="V20" s="10">
        <v>2</v>
      </c>
      <c r="W20" s="10">
        <v>3</v>
      </c>
      <c r="X20" s="10">
        <v>18</v>
      </c>
      <c r="Y20" s="7">
        <v>0</v>
      </c>
      <c r="Z20" s="7">
        <v>10</v>
      </c>
      <c r="AA20" s="7">
        <v>3</v>
      </c>
      <c r="AB20" s="13">
        <v>0</v>
      </c>
      <c r="AC20" s="13">
        <v>1</v>
      </c>
      <c r="AD20" s="13">
        <v>22</v>
      </c>
      <c r="AE20" s="14">
        <f t="shared" si="3"/>
        <v>1183</v>
      </c>
      <c r="AF20" s="17">
        <f t="shared" si="0"/>
        <v>2649</v>
      </c>
      <c r="AG20" s="3">
        <f t="shared" ref="AG20" si="102">INT(K20/360)</f>
        <v>2</v>
      </c>
      <c r="AH20" s="3">
        <f t="shared" ref="AH20" si="103">INT(MOD(K20,360)/30)</f>
        <v>0</v>
      </c>
      <c r="AI20" s="3">
        <f t="shared" ref="AI20" si="104">MOD(K20,30)</f>
        <v>25</v>
      </c>
      <c r="AJ20" s="3">
        <f t="shared" ref="AJ20" si="105">INT(U20/360)</f>
        <v>2</v>
      </c>
      <c r="AK20" s="3">
        <f t="shared" ref="AK20" si="106">INT(MOD(U20,360)/30)</f>
        <v>0</v>
      </c>
      <c r="AL20" s="3">
        <f t="shared" ref="AL20" si="107">MOD(U20,30)</f>
        <v>1</v>
      </c>
      <c r="AM20" s="3">
        <f t="shared" ref="AM20" si="108">INT(AE20/360)</f>
        <v>3</v>
      </c>
      <c r="AN20" s="3">
        <f t="shared" ref="AN20" si="109">INT(MOD(AE20,360)/30)</f>
        <v>3</v>
      </c>
      <c r="AO20" s="3">
        <f t="shared" ref="AO20" si="110">MOD(AE20,30)</f>
        <v>13</v>
      </c>
      <c r="AP20" s="3">
        <f t="shared" ref="AP20" si="111">INT(AF20/360)</f>
        <v>7</v>
      </c>
      <c r="AQ20" s="3">
        <f t="shared" ref="AQ20" si="112">INT(MOD(AF20,360)/30)</f>
        <v>4</v>
      </c>
      <c r="AR20" s="3">
        <f t="shared" ref="AR20" si="113">MOD(MOD(AF20,360),30)</f>
        <v>9</v>
      </c>
    </row>
    <row r="21" spans="1:44" x14ac:dyDescent="0.2">
      <c r="A21" s="4">
        <v>46206</v>
      </c>
      <c r="B21" s="10">
        <v>1</v>
      </c>
      <c r="C21" s="10">
        <v>0</v>
      </c>
      <c r="D21" s="10">
        <v>4</v>
      </c>
      <c r="E21" s="7">
        <v>0</v>
      </c>
      <c r="F21" s="7">
        <v>9</v>
      </c>
      <c r="G21" s="7">
        <v>16</v>
      </c>
      <c r="H21" s="13">
        <v>0</v>
      </c>
      <c r="I21" s="13">
        <v>1</v>
      </c>
      <c r="J21" s="13">
        <v>28</v>
      </c>
      <c r="K21" s="14">
        <f t="shared" si="1"/>
        <v>708</v>
      </c>
      <c r="L21" s="10">
        <v>1</v>
      </c>
      <c r="M21" s="10">
        <v>2</v>
      </c>
      <c r="N21" s="10">
        <v>8</v>
      </c>
      <c r="O21" s="7">
        <v>0</v>
      </c>
      <c r="P21" s="7">
        <v>10</v>
      </c>
      <c r="Q21" s="7">
        <v>27</v>
      </c>
      <c r="R21" s="13">
        <v>0</v>
      </c>
      <c r="S21" s="13">
        <v>0</v>
      </c>
      <c r="T21" s="13">
        <v>22</v>
      </c>
      <c r="U21" s="14">
        <f t="shared" si="2"/>
        <v>777</v>
      </c>
      <c r="V21" s="10">
        <v>2</v>
      </c>
      <c r="W21" s="10">
        <v>6</v>
      </c>
      <c r="X21" s="10">
        <v>0</v>
      </c>
      <c r="Y21" s="7">
        <v>0</v>
      </c>
      <c r="Z21" s="7">
        <v>10</v>
      </c>
      <c r="AA21" s="7">
        <v>0</v>
      </c>
      <c r="AB21" s="13">
        <v>0</v>
      </c>
      <c r="AC21" s="13">
        <v>0</v>
      </c>
      <c r="AD21" s="13">
        <v>21</v>
      </c>
      <c r="AE21" s="14">
        <f t="shared" si="3"/>
        <v>1221</v>
      </c>
      <c r="AF21" s="17">
        <f t="shared" si="0"/>
        <v>2706</v>
      </c>
      <c r="AG21" s="3">
        <f t="shared" ref="AG21" si="114">INT(K21/360)</f>
        <v>1</v>
      </c>
      <c r="AH21" s="3">
        <f t="shared" ref="AH21" si="115">INT(MOD(K21,360)/30)</f>
        <v>11</v>
      </c>
      <c r="AI21" s="3">
        <f t="shared" ref="AI21" si="116">MOD(K21,30)</f>
        <v>18</v>
      </c>
      <c r="AJ21" s="3">
        <f t="shared" ref="AJ21" si="117">INT(U21/360)</f>
        <v>2</v>
      </c>
      <c r="AK21" s="3">
        <f t="shared" ref="AK21" si="118">INT(MOD(U21,360)/30)</f>
        <v>1</v>
      </c>
      <c r="AL21" s="3">
        <f t="shared" ref="AL21" si="119">MOD(U21,30)</f>
        <v>27</v>
      </c>
      <c r="AM21" s="3">
        <f t="shared" ref="AM21" si="120">INT(AE21/360)</f>
        <v>3</v>
      </c>
      <c r="AN21" s="3">
        <f t="shared" ref="AN21" si="121">INT(MOD(AE21,360)/30)</f>
        <v>4</v>
      </c>
      <c r="AO21" s="3">
        <f t="shared" ref="AO21" si="122">MOD(AE21,30)</f>
        <v>21</v>
      </c>
      <c r="AP21" s="3">
        <f t="shared" ref="AP21" si="123">INT(AF21/360)</f>
        <v>7</v>
      </c>
      <c r="AQ21" s="3">
        <f t="shared" ref="AQ21" si="124">INT(MOD(AF21,360)/30)</f>
        <v>6</v>
      </c>
      <c r="AR21" s="3">
        <f t="shared" ref="AR21" si="125">MOD(MOD(AF21,360),30)</f>
        <v>6</v>
      </c>
    </row>
    <row r="22" spans="1:44" x14ac:dyDescent="0.2">
      <c r="A22" s="4">
        <v>46207</v>
      </c>
      <c r="B22" s="10">
        <v>1</v>
      </c>
      <c r="C22" s="10">
        <v>5</v>
      </c>
      <c r="D22" s="10">
        <v>2</v>
      </c>
      <c r="E22" s="7">
        <v>0</v>
      </c>
      <c r="F22" s="7">
        <v>7</v>
      </c>
      <c r="G22" s="7">
        <v>17</v>
      </c>
      <c r="H22" s="13">
        <v>0</v>
      </c>
      <c r="I22" s="13">
        <v>2</v>
      </c>
      <c r="J22" s="13">
        <v>13</v>
      </c>
      <c r="K22" s="14">
        <f t="shared" si="1"/>
        <v>812</v>
      </c>
      <c r="L22" s="10">
        <v>1</v>
      </c>
      <c r="M22" s="10">
        <v>2</v>
      </c>
      <c r="N22" s="10">
        <v>11</v>
      </c>
      <c r="O22" s="7">
        <v>0</v>
      </c>
      <c r="P22" s="7">
        <v>9</v>
      </c>
      <c r="Q22" s="7">
        <v>7</v>
      </c>
      <c r="R22" s="13">
        <v>0</v>
      </c>
      <c r="S22" s="13">
        <v>1</v>
      </c>
      <c r="T22" s="13">
        <v>18</v>
      </c>
      <c r="U22" s="14">
        <f t="shared" si="2"/>
        <v>756</v>
      </c>
      <c r="V22" s="10">
        <v>2</v>
      </c>
      <c r="W22" s="10">
        <v>8</v>
      </c>
      <c r="X22" s="10">
        <v>0</v>
      </c>
      <c r="Y22" s="7">
        <v>0</v>
      </c>
      <c r="Z22" s="7">
        <v>9</v>
      </c>
      <c r="AA22" s="7">
        <v>25</v>
      </c>
      <c r="AB22" s="13">
        <v>0</v>
      </c>
      <c r="AC22" s="13">
        <v>1</v>
      </c>
      <c r="AD22" s="13">
        <v>18</v>
      </c>
      <c r="AE22" s="14">
        <f t="shared" si="3"/>
        <v>1303</v>
      </c>
      <c r="AF22" s="17">
        <f t="shared" si="0"/>
        <v>2871</v>
      </c>
      <c r="AG22" s="3">
        <f t="shared" ref="AG22" si="126">INT(K22/360)</f>
        <v>2</v>
      </c>
      <c r="AH22" s="3">
        <f t="shared" ref="AH22" si="127">INT(MOD(K22,360)/30)</f>
        <v>3</v>
      </c>
      <c r="AI22" s="3">
        <f t="shared" ref="AI22" si="128">MOD(K22,30)</f>
        <v>2</v>
      </c>
      <c r="AJ22" s="3">
        <f t="shared" ref="AJ22" si="129">INT(U22/360)</f>
        <v>2</v>
      </c>
      <c r="AK22" s="3">
        <f t="shared" ref="AK22" si="130">INT(MOD(U22,360)/30)</f>
        <v>1</v>
      </c>
      <c r="AL22" s="3">
        <f t="shared" ref="AL22" si="131">MOD(U22,30)</f>
        <v>6</v>
      </c>
      <c r="AM22" s="3">
        <f t="shared" ref="AM22" si="132">INT(AE22/360)</f>
        <v>3</v>
      </c>
      <c r="AN22" s="3">
        <f t="shared" ref="AN22" si="133">INT(MOD(AE22,360)/30)</f>
        <v>7</v>
      </c>
      <c r="AO22" s="3">
        <f t="shared" ref="AO22" si="134">MOD(AE22,30)</f>
        <v>13</v>
      </c>
      <c r="AP22" s="3">
        <f t="shared" ref="AP22" si="135">INT(AF22/360)</f>
        <v>7</v>
      </c>
      <c r="AQ22" s="3">
        <f t="shared" ref="AQ22" si="136">INT(MOD(AF22,360)/30)</f>
        <v>11</v>
      </c>
      <c r="AR22" s="3">
        <f t="shared" ref="AR22" si="137">MOD(MOD(AF22,360),30)</f>
        <v>21</v>
      </c>
    </row>
    <row r="23" spans="1:44" x14ac:dyDescent="0.2">
      <c r="A23" s="4">
        <v>46208</v>
      </c>
      <c r="B23" s="10">
        <v>1</v>
      </c>
      <c r="C23" s="10">
        <v>3</v>
      </c>
      <c r="D23" s="10">
        <v>3</v>
      </c>
      <c r="E23" s="7">
        <v>0</v>
      </c>
      <c r="F23" s="7">
        <v>9</v>
      </c>
      <c r="G23" s="7">
        <v>22</v>
      </c>
      <c r="H23" s="13">
        <v>0</v>
      </c>
      <c r="I23" s="13">
        <v>2</v>
      </c>
      <c r="J23" s="13">
        <v>13</v>
      </c>
      <c r="K23" s="14">
        <f t="shared" si="1"/>
        <v>818</v>
      </c>
      <c r="L23" s="10">
        <v>1</v>
      </c>
      <c r="M23" s="10">
        <v>2</v>
      </c>
      <c r="N23" s="10">
        <v>25</v>
      </c>
      <c r="O23" s="7">
        <v>0</v>
      </c>
      <c r="P23" s="7">
        <v>9</v>
      </c>
      <c r="Q23" s="7">
        <v>16</v>
      </c>
      <c r="R23" s="13">
        <v>0</v>
      </c>
      <c r="S23" s="13">
        <v>1</v>
      </c>
      <c r="T23" s="13">
        <v>20</v>
      </c>
      <c r="U23" s="14">
        <f t="shared" si="2"/>
        <v>781</v>
      </c>
      <c r="V23" s="10">
        <v>2</v>
      </c>
      <c r="W23" s="10">
        <v>0</v>
      </c>
      <c r="X23" s="10">
        <v>9</v>
      </c>
      <c r="Y23" s="7">
        <v>0</v>
      </c>
      <c r="Z23" s="7">
        <v>7</v>
      </c>
      <c r="AA23" s="7">
        <v>22</v>
      </c>
      <c r="AB23" s="13">
        <v>0</v>
      </c>
      <c r="AC23" s="13">
        <v>1</v>
      </c>
      <c r="AD23" s="13">
        <v>13</v>
      </c>
      <c r="AE23" s="14">
        <f t="shared" si="3"/>
        <v>1004</v>
      </c>
      <c r="AF23" s="17">
        <f t="shared" si="0"/>
        <v>2603</v>
      </c>
      <c r="AG23" s="3">
        <f t="shared" ref="AG23" si="138">INT(K23/360)</f>
        <v>2</v>
      </c>
      <c r="AH23" s="3">
        <f t="shared" ref="AH23" si="139">INT(MOD(K23,360)/30)</f>
        <v>3</v>
      </c>
      <c r="AI23" s="3">
        <f t="shared" ref="AI23" si="140">MOD(K23,30)</f>
        <v>8</v>
      </c>
      <c r="AJ23" s="3">
        <f t="shared" ref="AJ23" si="141">INT(U23/360)</f>
        <v>2</v>
      </c>
      <c r="AK23" s="3">
        <f t="shared" ref="AK23" si="142">INT(MOD(U23,360)/30)</f>
        <v>2</v>
      </c>
      <c r="AL23" s="3">
        <f t="shared" ref="AL23" si="143">MOD(U23,30)</f>
        <v>1</v>
      </c>
      <c r="AM23" s="3">
        <f t="shared" ref="AM23" si="144">INT(AE23/360)</f>
        <v>2</v>
      </c>
      <c r="AN23" s="3">
        <f t="shared" ref="AN23" si="145">INT(MOD(AE23,360)/30)</f>
        <v>9</v>
      </c>
      <c r="AO23" s="3">
        <f t="shared" ref="AO23" si="146">MOD(AE23,30)</f>
        <v>14</v>
      </c>
      <c r="AP23" s="3">
        <f t="shared" ref="AP23" si="147">INT(AF23/360)</f>
        <v>7</v>
      </c>
      <c r="AQ23" s="3">
        <f t="shared" ref="AQ23" si="148">INT(MOD(AF23,360)/30)</f>
        <v>2</v>
      </c>
      <c r="AR23" s="3">
        <f t="shared" ref="AR23" si="149">MOD(MOD(AF23,360),30)</f>
        <v>23</v>
      </c>
    </row>
    <row r="24" spans="1:44" x14ac:dyDescent="0.2">
      <c r="A24" s="4">
        <v>46209</v>
      </c>
      <c r="B24" s="10">
        <v>1</v>
      </c>
      <c r="C24" s="10">
        <v>3</v>
      </c>
      <c r="D24" s="10">
        <v>1</v>
      </c>
      <c r="E24" s="7">
        <v>0</v>
      </c>
      <c r="F24" s="7">
        <v>8</v>
      </c>
      <c r="G24" s="7">
        <v>11</v>
      </c>
      <c r="H24" s="13">
        <v>0</v>
      </c>
      <c r="I24" s="13">
        <v>4</v>
      </c>
      <c r="J24" s="13">
        <v>3</v>
      </c>
      <c r="K24" s="14">
        <f t="shared" si="1"/>
        <v>825</v>
      </c>
      <c r="L24" s="10">
        <v>1</v>
      </c>
      <c r="M24" s="10">
        <v>1</v>
      </c>
      <c r="N24" s="10">
        <v>18</v>
      </c>
      <c r="O24" s="7">
        <v>0</v>
      </c>
      <c r="P24" s="7">
        <v>11</v>
      </c>
      <c r="Q24" s="7">
        <v>13</v>
      </c>
      <c r="R24" s="13">
        <v>0</v>
      </c>
      <c r="S24" s="13">
        <v>2</v>
      </c>
      <c r="T24" s="13">
        <v>28</v>
      </c>
      <c r="U24" s="14">
        <f t="shared" si="2"/>
        <v>839</v>
      </c>
      <c r="V24" s="10">
        <v>2</v>
      </c>
      <c r="W24" s="10">
        <v>8</v>
      </c>
      <c r="X24" s="10">
        <v>1</v>
      </c>
      <c r="Y24" s="7">
        <v>0</v>
      </c>
      <c r="Z24" s="7">
        <v>10</v>
      </c>
      <c r="AA24" s="7">
        <v>23</v>
      </c>
      <c r="AB24" s="13">
        <v>0</v>
      </c>
      <c r="AC24" s="13">
        <v>1</v>
      </c>
      <c r="AD24" s="13">
        <v>27</v>
      </c>
      <c r="AE24" s="14">
        <f t="shared" si="3"/>
        <v>1341</v>
      </c>
      <c r="AF24" s="17">
        <f t="shared" si="0"/>
        <v>3005</v>
      </c>
      <c r="AG24" s="3">
        <f t="shared" ref="AG24" si="150">INT(K24/360)</f>
        <v>2</v>
      </c>
      <c r="AH24" s="3">
        <f t="shared" ref="AH24" si="151">INT(MOD(K24,360)/30)</f>
        <v>3</v>
      </c>
      <c r="AI24" s="3">
        <f t="shared" ref="AI24" si="152">MOD(K24,30)</f>
        <v>15</v>
      </c>
      <c r="AJ24" s="3">
        <f t="shared" ref="AJ24" si="153">INT(U24/360)</f>
        <v>2</v>
      </c>
      <c r="AK24" s="3">
        <f t="shared" ref="AK24" si="154">INT(MOD(U24,360)/30)</f>
        <v>3</v>
      </c>
      <c r="AL24" s="3">
        <f t="shared" ref="AL24" si="155">MOD(U24,30)</f>
        <v>29</v>
      </c>
      <c r="AM24" s="3">
        <f t="shared" ref="AM24" si="156">INT(AE24/360)</f>
        <v>3</v>
      </c>
      <c r="AN24" s="3">
        <f t="shared" ref="AN24" si="157">INT(MOD(AE24,360)/30)</f>
        <v>8</v>
      </c>
      <c r="AO24" s="3">
        <f t="shared" ref="AO24" si="158">MOD(AE24,30)</f>
        <v>21</v>
      </c>
      <c r="AP24" s="3">
        <f t="shared" ref="AP24" si="159">INT(AF24/360)</f>
        <v>8</v>
      </c>
      <c r="AQ24" s="3">
        <f t="shared" ref="AQ24" si="160">INT(MOD(AF24,360)/30)</f>
        <v>4</v>
      </c>
      <c r="AR24" s="3">
        <f t="shared" ref="AR24" si="161">MOD(MOD(AF24,360),30)</f>
        <v>5</v>
      </c>
    </row>
    <row r="25" spans="1:44" x14ac:dyDescent="0.2">
      <c r="A25" s="4">
        <v>46210</v>
      </c>
      <c r="B25" s="10">
        <v>1</v>
      </c>
      <c r="C25" s="10">
        <v>4</v>
      </c>
      <c r="D25" s="10">
        <v>2</v>
      </c>
      <c r="E25" s="7">
        <v>0</v>
      </c>
      <c r="F25" s="7">
        <v>8</v>
      </c>
      <c r="G25" s="7">
        <v>0</v>
      </c>
      <c r="H25" s="13">
        <v>0</v>
      </c>
      <c r="I25" s="13">
        <v>2</v>
      </c>
      <c r="J25" s="13">
        <v>10</v>
      </c>
      <c r="K25" s="14">
        <f t="shared" si="1"/>
        <v>792</v>
      </c>
      <c r="L25" s="10">
        <v>1</v>
      </c>
      <c r="M25" s="10">
        <v>0</v>
      </c>
      <c r="N25" s="10">
        <v>19</v>
      </c>
      <c r="O25" s="7">
        <v>0</v>
      </c>
      <c r="P25" s="7">
        <v>11</v>
      </c>
      <c r="Q25" s="7">
        <v>24</v>
      </c>
      <c r="R25" s="13">
        <v>0</v>
      </c>
      <c r="S25" s="13">
        <v>2</v>
      </c>
      <c r="T25" s="13">
        <v>12</v>
      </c>
      <c r="U25" s="14">
        <f t="shared" si="2"/>
        <v>805</v>
      </c>
      <c r="V25" s="10">
        <v>2</v>
      </c>
      <c r="W25" s="10">
        <v>8</v>
      </c>
      <c r="X25" s="10">
        <v>12</v>
      </c>
      <c r="Y25" s="7">
        <v>0</v>
      </c>
      <c r="Z25" s="7">
        <v>11</v>
      </c>
      <c r="AA25" s="7">
        <v>1</v>
      </c>
      <c r="AB25" s="13">
        <v>0</v>
      </c>
      <c r="AC25" s="13">
        <v>1</v>
      </c>
      <c r="AD25" s="13">
        <v>14</v>
      </c>
      <c r="AE25" s="14">
        <f t="shared" si="3"/>
        <v>1347</v>
      </c>
      <c r="AF25" s="17">
        <f t="shared" si="0"/>
        <v>2944</v>
      </c>
      <c r="AG25" s="3">
        <f t="shared" ref="AG25" si="162">INT(K25/360)</f>
        <v>2</v>
      </c>
      <c r="AH25" s="3">
        <f t="shared" ref="AH25" si="163">INT(MOD(K25,360)/30)</f>
        <v>2</v>
      </c>
      <c r="AI25" s="3">
        <f t="shared" ref="AI25" si="164">MOD(K25,30)</f>
        <v>12</v>
      </c>
      <c r="AJ25" s="3">
        <f t="shared" ref="AJ25" si="165">INT(U25/360)</f>
        <v>2</v>
      </c>
      <c r="AK25" s="3">
        <f t="shared" ref="AK25" si="166">INT(MOD(U25,360)/30)</f>
        <v>2</v>
      </c>
      <c r="AL25" s="3">
        <f t="shared" ref="AL25" si="167">MOD(U25,30)</f>
        <v>25</v>
      </c>
      <c r="AM25" s="3">
        <f t="shared" ref="AM25" si="168">INT(AE25/360)</f>
        <v>3</v>
      </c>
      <c r="AN25" s="3">
        <f t="shared" ref="AN25" si="169">INT(MOD(AE25,360)/30)</f>
        <v>8</v>
      </c>
      <c r="AO25" s="3">
        <f t="shared" ref="AO25" si="170">MOD(AE25,30)</f>
        <v>27</v>
      </c>
      <c r="AP25" s="3">
        <f t="shared" ref="AP25" si="171">INT(AF25/360)</f>
        <v>8</v>
      </c>
      <c r="AQ25" s="3">
        <f t="shared" ref="AQ25" si="172">INT(MOD(AF25,360)/30)</f>
        <v>2</v>
      </c>
      <c r="AR25" s="3">
        <f t="shared" ref="AR25" si="173">MOD(MOD(AF25,360),30)</f>
        <v>4</v>
      </c>
    </row>
    <row r="26" spans="1:44" x14ac:dyDescent="0.2">
      <c r="A26" s="4">
        <v>46211</v>
      </c>
      <c r="B26" s="10">
        <v>1</v>
      </c>
      <c r="C26" s="10">
        <v>4</v>
      </c>
      <c r="D26" s="10">
        <v>25</v>
      </c>
      <c r="E26" s="7">
        <v>0</v>
      </c>
      <c r="F26" s="7">
        <v>7</v>
      </c>
      <c r="G26" s="7">
        <v>22</v>
      </c>
      <c r="H26" s="13">
        <v>0</v>
      </c>
      <c r="I26" s="13">
        <v>2</v>
      </c>
      <c r="J26" s="13">
        <v>12</v>
      </c>
      <c r="K26" s="14">
        <f>(B26*12*30)+(C26*30)+D26+(E26*12*30)+(F26*30)+G26+(H26*12*30)+(I26*30)+J26</f>
        <v>809</v>
      </c>
      <c r="L26" s="10">
        <v>1</v>
      </c>
      <c r="M26" s="10">
        <v>3</v>
      </c>
      <c r="N26" s="10">
        <v>15</v>
      </c>
      <c r="O26" s="7">
        <v>0</v>
      </c>
      <c r="P26" s="7">
        <v>11</v>
      </c>
      <c r="Q26" s="7">
        <v>0</v>
      </c>
      <c r="R26" s="13">
        <v>0</v>
      </c>
      <c r="S26" s="13">
        <v>1</v>
      </c>
      <c r="T26" s="13">
        <v>20</v>
      </c>
      <c r="U26" s="14">
        <f t="shared" si="2"/>
        <v>845</v>
      </c>
      <c r="V26" s="10">
        <v>2</v>
      </c>
      <c r="W26" s="10">
        <v>9</v>
      </c>
      <c r="X26" s="10">
        <v>18</v>
      </c>
      <c r="Y26" s="7">
        <v>0</v>
      </c>
      <c r="Z26" s="7">
        <v>8</v>
      </c>
      <c r="AA26" s="7">
        <v>28</v>
      </c>
      <c r="AB26" s="13">
        <v>0</v>
      </c>
      <c r="AC26" s="13">
        <v>1</v>
      </c>
      <c r="AD26" s="13">
        <v>29</v>
      </c>
      <c r="AE26" s="14">
        <f t="shared" si="3"/>
        <v>1335</v>
      </c>
      <c r="AF26" s="17">
        <f t="shared" si="0"/>
        <v>2989</v>
      </c>
      <c r="AG26" s="3">
        <f t="shared" ref="AG26" si="174">INT(K26/360)</f>
        <v>2</v>
      </c>
      <c r="AH26" s="3">
        <f t="shared" ref="AH26" si="175">INT(MOD(K26,360)/30)</f>
        <v>2</v>
      </c>
      <c r="AI26" s="3">
        <f t="shared" ref="AI26" si="176">MOD(K26,30)</f>
        <v>29</v>
      </c>
      <c r="AJ26" s="3">
        <f t="shared" ref="AJ26" si="177">INT(U26/360)</f>
        <v>2</v>
      </c>
      <c r="AK26" s="3">
        <f t="shared" ref="AK26" si="178">INT(MOD(U26,360)/30)</f>
        <v>4</v>
      </c>
      <c r="AL26" s="3">
        <f t="shared" ref="AL26" si="179">MOD(U26,30)</f>
        <v>5</v>
      </c>
      <c r="AM26" s="3">
        <f t="shared" ref="AM26" si="180">INT(AE26/360)</f>
        <v>3</v>
      </c>
      <c r="AN26" s="3">
        <f t="shared" ref="AN26" si="181">INT(MOD(AE26,360)/30)</f>
        <v>8</v>
      </c>
      <c r="AO26" s="3">
        <f t="shared" ref="AO26" si="182">MOD(AE26,30)</f>
        <v>15</v>
      </c>
      <c r="AP26" s="3">
        <f t="shared" ref="AP26" si="183">INT(AF26/360)</f>
        <v>8</v>
      </c>
      <c r="AQ26" s="3">
        <f t="shared" ref="AQ26" si="184">INT(MOD(AF26,360)/30)</f>
        <v>3</v>
      </c>
      <c r="AR26" s="3">
        <f t="shared" ref="AR26" si="185">MOD(MOD(AF26,360),30)</f>
        <v>19</v>
      </c>
    </row>
    <row r="27" spans="1:44" x14ac:dyDescent="0.2">
      <c r="A27" s="4">
        <v>46212</v>
      </c>
      <c r="B27" s="10">
        <v>1</v>
      </c>
      <c r="C27" s="10">
        <v>3</v>
      </c>
      <c r="D27" s="10">
        <v>13</v>
      </c>
      <c r="E27" s="7">
        <v>0</v>
      </c>
      <c r="F27" s="7">
        <v>9</v>
      </c>
      <c r="G27" s="7">
        <v>0</v>
      </c>
      <c r="H27" s="13">
        <v>0</v>
      </c>
      <c r="I27" s="13">
        <v>2</v>
      </c>
      <c r="J27" s="13">
        <v>17</v>
      </c>
      <c r="K27" s="14">
        <f t="shared" si="1"/>
        <v>810</v>
      </c>
      <c r="L27" s="10">
        <v>1</v>
      </c>
      <c r="M27" s="10">
        <v>4</v>
      </c>
      <c r="N27" s="10">
        <v>25</v>
      </c>
      <c r="O27" s="7">
        <v>0</v>
      </c>
      <c r="P27" s="7">
        <v>10</v>
      </c>
      <c r="Q27" s="7">
        <v>11</v>
      </c>
      <c r="R27" s="13">
        <v>0</v>
      </c>
      <c r="S27" s="13">
        <v>1</v>
      </c>
      <c r="T27" s="13">
        <v>12</v>
      </c>
      <c r="U27" s="14">
        <f t="shared" si="2"/>
        <v>858</v>
      </c>
      <c r="V27" s="10">
        <v>2</v>
      </c>
      <c r="W27" s="10">
        <v>10</v>
      </c>
      <c r="X27" s="10">
        <v>29</v>
      </c>
      <c r="Y27" s="7">
        <v>0</v>
      </c>
      <c r="Z27" s="7">
        <v>9</v>
      </c>
      <c r="AA27" s="7">
        <v>0</v>
      </c>
      <c r="AB27" s="13">
        <v>0</v>
      </c>
      <c r="AC27" s="13">
        <v>0</v>
      </c>
      <c r="AD27" s="13">
        <v>24</v>
      </c>
      <c r="AE27" s="14">
        <f t="shared" si="3"/>
        <v>1343</v>
      </c>
      <c r="AF27" s="17">
        <f t="shared" si="0"/>
        <v>3011</v>
      </c>
      <c r="AG27" s="3">
        <f t="shared" ref="AG27" si="186">INT(K27/360)</f>
        <v>2</v>
      </c>
      <c r="AH27" s="3">
        <f t="shared" ref="AH27" si="187">INT(MOD(K27,360)/30)</f>
        <v>3</v>
      </c>
      <c r="AI27" s="3">
        <f t="shared" ref="AI27" si="188">MOD(K27,30)</f>
        <v>0</v>
      </c>
      <c r="AJ27" s="3">
        <f t="shared" ref="AJ27" si="189">INT(U27/360)</f>
        <v>2</v>
      </c>
      <c r="AK27" s="3">
        <f t="shared" ref="AK27" si="190">INT(MOD(U27,360)/30)</f>
        <v>4</v>
      </c>
      <c r="AL27" s="3">
        <f t="shared" ref="AL27" si="191">MOD(U27,30)</f>
        <v>18</v>
      </c>
      <c r="AM27" s="3">
        <f t="shared" ref="AM27" si="192">INT(AE27/360)</f>
        <v>3</v>
      </c>
      <c r="AN27" s="3">
        <f t="shared" ref="AN27" si="193">INT(MOD(AE27,360)/30)</f>
        <v>8</v>
      </c>
      <c r="AO27" s="3">
        <f t="shared" ref="AO27" si="194">MOD(AE27,30)</f>
        <v>23</v>
      </c>
      <c r="AP27" s="3">
        <f t="shared" ref="AP27" si="195">INT(AF27/360)</f>
        <v>8</v>
      </c>
      <c r="AQ27" s="3">
        <f t="shared" ref="AQ27" si="196">INT(MOD(AF27,360)/30)</f>
        <v>4</v>
      </c>
      <c r="AR27" s="3">
        <f t="shared" ref="AR27" si="197">MOD(MOD(AF27,360),30)</f>
        <v>11</v>
      </c>
    </row>
    <row r="28" spans="1:44" x14ac:dyDescent="0.2">
      <c r="A28" s="4">
        <v>46213</v>
      </c>
      <c r="B28" s="10">
        <v>1</v>
      </c>
      <c r="C28" s="10">
        <v>5</v>
      </c>
      <c r="D28" s="10">
        <v>4</v>
      </c>
      <c r="E28" s="7">
        <v>0</v>
      </c>
      <c r="F28" s="7">
        <v>8</v>
      </c>
      <c r="G28" s="7">
        <v>13</v>
      </c>
      <c r="H28" s="13">
        <v>0</v>
      </c>
      <c r="I28" s="13">
        <v>2</v>
      </c>
      <c r="J28" s="13">
        <v>13</v>
      </c>
      <c r="K28" s="14">
        <f t="shared" si="1"/>
        <v>840</v>
      </c>
      <c r="L28" s="10">
        <v>1</v>
      </c>
      <c r="M28" s="10">
        <v>8</v>
      </c>
      <c r="N28" s="10">
        <v>2</v>
      </c>
      <c r="O28" s="7">
        <v>0</v>
      </c>
      <c r="P28" s="7">
        <v>7</v>
      </c>
      <c r="Q28" s="7">
        <v>24</v>
      </c>
      <c r="R28" s="13">
        <v>0</v>
      </c>
      <c r="S28" s="13">
        <v>0</v>
      </c>
      <c r="T28" s="13">
        <v>25</v>
      </c>
      <c r="U28" s="14">
        <f t="shared" si="2"/>
        <v>861</v>
      </c>
      <c r="V28" s="10">
        <v>3</v>
      </c>
      <c r="W28" s="10">
        <v>3</v>
      </c>
      <c r="X28" s="10">
        <v>1</v>
      </c>
      <c r="Y28" s="7">
        <v>0</v>
      </c>
      <c r="Z28" s="7">
        <v>5</v>
      </c>
      <c r="AA28" s="7">
        <v>24</v>
      </c>
      <c r="AB28" s="13">
        <v>0</v>
      </c>
      <c r="AC28" s="13">
        <v>0</v>
      </c>
      <c r="AD28" s="13">
        <v>21</v>
      </c>
      <c r="AE28" s="14">
        <f t="shared" si="3"/>
        <v>1366</v>
      </c>
      <c r="AF28" s="17">
        <f t="shared" si="0"/>
        <v>3067</v>
      </c>
      <c r="AG28" s="3">
        <f t="shared" ref="AG28" si="198">INT(K28/360)</f>
        <v>2</v>
      </c>
      <c r="AH28" s="3">
        <f t="shared" ref="AH28" si="199">INT(MOD(K28,360)/30)</f>
        <v>4</v>
      </c>
      <c r="AI28" s="3">
        <f t="shared" ref="AI28" si="200">MOD(K28,30)</f>
        <v>0</v>
      </c>
      <c r="AJ28" s="3">
        <f t="shared" ref="AJ28" si="201">INT(U28/360)</f>
        <v>2</v>
      </c>
      <c r="AK28" s="3">
        <f t="shared" ref="AK28" si="202">INT(MOD(U28,360)/30)</f>
        <v>4</v>
      </c>
      <c r="AL28" s="3">
        <f t="shared" ref="AL28" si="203">MOD(U28,30)</f>
        <v>21</v>
      </c>
      <c r="AM28" s="3">
        <f t="shared" ref="AM28" si="204">INT(AE28/360)</f>
        <v>3</v>
      </c>
      <c r="AN28" s="3">
        <f t="shared" ref="AN28" si="205">INT(MOD(AE28,360)/30)</f>
        <v>9</v>
      </c>
      <c r="AO28" s="3">
        <f t="shared" ref="AO28" si="206">MOD(AE28,30)</f>
        <v>16</v>
      </c>
      <c r="AP28" s="3">
        <f>INT(AF28/360)</f>
        <v>8</v>
      </c>
      <c r="AQ28" s="3">
        <f t="shared" ref="AQ28" si="207">INT(MOD(AF28,360)/30)</f>
        <v>6</v>
      </c>
      <c r="AR28" s="3">
        <f t="shared" ref="AR28" si="208">MOD(MOD(AF28,360),30)</f>
        <v>7</v>
      </c>
    </row>
    <row r="29" spans="1:44" x14ac:dyDescent="0.2">
      <c r="A29" s="4">
        <v>46214</v>
      </c>
      <c r="B29" s="10">
        <v>1</v>
      </c>
      <c r="C29" s="10">
        <v>8</v>
      </c>
      <c r="D29" s="10">
        <v>22</v>
      </c>
      <c r="E29" s="7">
        <v>0</v>
      </c>
      <c r="F29" s="7">
        <v>5</v>
      </c>
      <c r="G29" s="7">
        <v>28</v>
      </c>
      <c r="H29" s="13">
        <v>0</v>
      </c>
      <c r="I29" s="13">
        <v>2</v>
      </c>
      <c r="J29" s="13">
        <v>10</v>
      </c>
      <c r="K29" s="14">
        <f t="shared" si="1"/>
        <v>870</v>
      </c>
      <c r="L29" s="10">
        <v>1</v>
      </c>
      <c r="M29" s="10">
        <v>10</v>
      </c>
      <c r="N29" s="10">
        <v>21</v>
      </c>
      <c r="O29" s="7">
        <v>0</v>
      </c>
      <c r="P29" s="7">
        <v>5</v>
      </c>
      <c r="Q29" s="7">
        <v>21</v>
      </c>
      <c r="R29" s="13">
        <v>0</v>
      </c>
      <c r="S29" s="13">
        <v>0</v>
      </c>
      <c r="T29" s="13">
        <v>20</v>
      </c>
      <c r="U29" s="14">
        <f t="shared" si="2"/>
        <v>872</v>
      </c>
      <c r="V29" s="10">
        <v>3</v>
      </c>
      <c r="W29" s="10">
        <v>3</v>
      </c>
      <c r="X29" s="10">
        <v>21</v>
      </c>
      <c r="Y29" s="7">
        <v>0</v>
      </c>
      <c r="Z29" s="7">
        <v>5</v>
      </c>
      <c r="AA29" s="7">
        <v>1</v>
      </c>
      <c r="AB29" s="13">
        <v>0</v>
      </c>
      <c r="AC29" s="13">
        <v>0</v>
      </c>
      <c r="AD29" s="13">
        <v>19</v>
      </c>
      <c r="AE29" s="14">
        <f t="shared" si="3"/>
        <v>1361</v>
      </c>
      <c r="AF29" s="17">
        <f t="shared" si="0"/>
        <v>3103</v>
      </c>
      <c r="AG29" s="3">
        <f t="shared" ref="AG29" si="209">INT(K29/360)</f>
        <v>2</v>
      </c>
      <c r="AH29" s="3">
        <f t="shared" ref="AH29" si="210">INT(MOD(K29,360)/30)</f>
        <v>5</v>
      </c>
      <c r="AI29" s="3">
        <f t="shared" ref="AI29" si="211">MOD(K29,30)</f>
        <v>0</v>
      </c>
      <c r="AJ29" s="3">
        <f t="shared" ref="AJ29" si="212">INT(U29/360)</f>
        <v>2</v>
      </c>
      <c r="AK29" s="3">
        <f t="shared" ref="AK29" si="213">INT(MOD(U29,360)/30)</f>
        <v>5</v>
      </c>
      <c r="AL29" s="3">
        <f t="shared" ref="AL29" si="214">MOD(U29,30)</f>
        <v>2</v>
      </c>
      <c r="AM29" s="3">
        <f t="shared" ref="AM29" si="215">INT(AE29/360)</f>
        <v>3</v>
      </c>
      <c r="AN29" s="3">
        <f t="shared" ref="AN29" si="216">INT(MOD(AE29,360)/30)</f>
        <v>9</v>
      </c>
      <c r="AO29" s="3">
        <f t="shared" ref="AO29" si="217">MOD(AE29,30)</f>
        <v>11</v>
      </c>
      <c r="AP29" s="3">
        <f t="shared" ref="AP29" si="218">INT(AF29/360)</f>
        <v>8</v>
      </c>
      <c r="AQ29" s="3">
        <f t="shared" ref="AQ29" si="219">INT(MOD(AF29,360)/30)</f>
        <v>7</v>
      </c>
      <c r="AR29" s="3">
        <f t="shared" ref="AR29" si="220">MOD(MOD(AF29,360),30)</f>
        <v>13</v>
      </c>
    </row>
    <row r="30" spans="1:44" x14ac:dyDescent="0.2">
      <c r="A30" s="4">
        <v>46215</v>
      </c>
      <c r="B30" s="10">
        <v>1</v>
      </c>
      <c r="C30" s="10">
        <v>4</v>
      </c>
      <c r="D30" s="10">
        <v>13</v>
      </c>
      <c r="E30" s="7">
        <v>0</v>
      </c>
      <c r="F30" s="7">
        <v>9</v>
      </c>
      <c r="G30" s="7">
        <v>19</v>
      </c>
      <c r="H30" s="13">
        <v>0</v>
      </c>
      <c r="I30" s="13">
        <v>2</v>
      </c>
      <c r="J30" s="13">
        <v>1</v>
      </c>
      <c r="K30" s="14">
        <f t="shared" si="1"/>
        <v>843</v>
      </c>
      <c r="L30" s="10">
        <v>1</v>
      </c>
      <c r="M30" s="10">
        <v>7</v>
      </c>
      <c r="N30" s="10">
        <v>14</v>
      </c>
      <c r="O30" s="7">
        <v>0</v>
      </c>
      <c r="P30" s="7">
        <v>9</v>
      </c>
      <c r="Q30" s="7">
        <v>18</v>
      </c>
      <c r="R30" s="13">
        <v>0</v>
      </c>
      <c r="S30" s="13">
        <v>1</v>
      </c>
      <c r="T30" s="13">
        <v>13</v>
      </c>
      <c r="U30" s="14">
        <f t="shared" si="2"/>
        <v>915</v>
      </c>
      <c r="V30" s="10">
        <v>3</v>
      </c>
      <c r="W30" s="10">
        <v>2</v>
      </c>
      <c r="X30" s="10">
        <v>9</v>
      </c>
      <c r="Y30" s="7">
        <v>0</v>
      </c>
      <c r="Z30" s="7">
        <v>6</v>
      </c>
      <c r="AA30" s="7">
        <v>17</v>
      </c>
      <c r="AB30" s="13">
        <v>0</v>
      </c>
      <c r="AC30" s="13">
        <v>0</v>
      </c>
      <c r="AD30" s="13">
        <v>25</v>
      </c>
      <c r="AE30" s="14">
        <f t="shared" si="3"/>
        <v>1371</v>
      </c>
      <c r="AF30" s="17">
        <f t="shared" si="0"/>
        <v>3129</v>
      </c>
      <c r="AG30" s="3">
        <f t="shared" ref="AG30" si="221">INT(K30/360)</f>
        <v>2</v>
      </c>
      <c r="AH30" s="3">
        <f t="shared" ref="AH30" si="222">INT(MOD(K30,360)/30)</f>
        <v>4</v>
      </c>
      <c r="AI30" s="3">
        <f t="shared" ref="AI30" si="223">MOD(K30,30)</f>
        <v>3</v>
      </c>
      <c r="AJ30" s="3">
        <f t="shared" ref="AJ30" si="224">INT(U30/360)</f>
        <v>2</v>
      </c>
      <c r="AK30" s="3">
        <f t="shared" ref="AK30" si="225">INT(MOD(U30,360)/30)</f>
        <v>6</v>
      </c>
      <c r="AL30" s="3">
        <f t="shared" ref="AL30" si="226">MOD(U30,30)</f>
        <v>15</v>
      </c>
      <c r="AM30" s="3">
        <f t="shared" ref="AM30" si="227">INT(AE30/360)</f>
        <v>3</v>
      </c>
      <c r="AN30" s="3">
        <f t="shared" ref="AN30" si="228">INT(MOD(AE30,360)/30)</f>
        <v>9</v>
      </c>
      <c r="AO30" s="3">
        <f t="shared" ref="AO30" si="229">MOD(AE30,30)</f>
        <v>21</v>
      </c>
      <c r="AP30" s="3">
        <f t="shared" ref="AP30" si="230">INT(AF30/360)</f>
        <v>8</v>
      </c>
      <c r="AQ30" s="3">
        <f t="shared" ref="AQ30" si="231">INT(MOD(AF30,360)/30)</f>
        <v>8</v>
      </c>
      <c r="AR30" s="3">
        <f t="shared" ref="AR30" si="232">MOD(MOD(AF30,360),30)</f>
        <v>9</v>
      </c>
    </row>
    <row r="31" spans="1:44" x14ac:dyDescent="0.2">
      <c r="A31" s="4">
        <v>46216</v>
      </c>
      <c r="B31" s="10">
        <v>1</v>
      </c>
      <c r="C31" s="10">
        <v>4</v>
      </c>
      <c r="D31" s="10">
        <v>4</v>
      </c>
      <c r="E31" s="7">
        <v>0</v>
      </c>
      <c r="F31" s="7">
        <v>9</v>
      </c>
      <c r="G31" s="7">
        <v>15</v>
      </c>
      <c r="H31" s="13"/>
      <c r="I31" s="13"/>
      <c r="J31" s="13"/>
      <c r="K31" s="14">
        <f t="shared" si="1"/>
        <v>769</v>
      </c>
      <c r="L31" s="10">
        <v>1</v>
      </c>
      <c r="M31" s="10">
        <v>4</v>
      </c>
      <c r="N31" s="10">
        <v>11</v>
      </c>
      <c r="O31" s="7">
        <v>0</v>
      </c>
      <c r="P31" s="7">
        <v>9</v>
      </c>
      <c r="Q31" s="7">
        <v>21</v>
      </c>
      <c r="R31" s="13"/>
      <c r="S31" s="13"/>
      <c r="T31" s="13"/>
      <c r="U31" s="14">
        <f t="shared" si="2"/>
        <v>782</v>
      </c>
      <c r="V31" s="10">
        <v>3</v>
      </c>
      <c r="W31" s="10">
        <v>0</v>
      </c>
      <c r="X31" s="10">
        <v>3</v>
      </c>
      <c r="Y31" s="7">
        <v>0</v>
      </c>
      <c r="Z31" s="7">
        <v>8</v>
      </c>
      <c r="AA31" s="7">
        <v>23</v>
      </c>
      <c r="AB31" s="13"/>
      <c r="AC31" s="13"/>
      <c r="AD31" s="13"/>
      <c r="AE31" s="14">
        <f t="shared" si="3"/>
        <v>1346</v>
      </c>
      <c r="AF31" s="17">
        <f t="shared" si="0"/>
        <v>2897</v>
      </c>
      <c r="AG31" s="3">
        <f t="shared" ref="AG31:AG32" si="233">INT(K31/360)</f>
        <v>2</v>
      </c>
      <c r="AH31" s="3">
        <f t="shared" ref="AH31:AH32" si="234">INT(MOD(K31,360)/30)</f>
        <v>1</v>
      </c>
      <c r="AI31" s="3">
        <f t="shared" ref="AI31:AI32" si="235">MOD(K31,30)</f>
        <v>19</v>
      </c>
      <c r="AJ31" s="3">
        <f t="shared" ref="AJ31:AJ32" si="236">INT(U31/360)</f>
        <v>2</v>
      </c>
      <c r="AK31" s="3">
        <f t="shared" ref="AK31:AK32" si="237">INT(MOD(U31,360)/30)</f>
        <v>2</v>
      </c>
      <c r="AL31" s="3">
        <f t="shared" ref="AL31:AL32" si="238">MOD(U31,30)</f>
        <v>2</v>
      </c>
      <c r="AM31" s="3">
        <f t="shared" ref="AM31:AM32" si="239">INT(AE31/360)</f>
        <v>3</v>
      </c>
      <c r="AN31" s="3">
        <f t="shared" ref="AN31:AN32" si="240">INT(MOD(AE31,360)/30)</f>
        <v>8</v>
      </c>
      <c r="AO31" s="3">
        <f t="shared" ref="AO31:AO32" si="241">MOD(AE31,30)</f>
        <v>26</v>
      </c>
      <c r="AP31" s="3">
        <f t="shared" ref="AP31:AP32" si="242">INT(AF31/360)</f>
        <v>8</v>
      </c>
      <c r="AQ31" s="3">
        <f t="shared" ref="AQ31:AQ32" si="243">INT(MOD(AF31,360)/30)</f>
        <v>0</v>
      </c>
      <c r="AR31" s="3">
        <f t="shared" ref="AR31:AR32" si="244">MOD(MOD(AF31,360),30)</f>
        <v>17</v>
      </c>
    </row>
    <row r="32" spans="1:44" x14ac:dyDescent="0.2">
      <c r="A32" s="4">
        <v>46217</v>
      </c>
      <c r="B32" s="10">
        <v>1</v>
      </c>
      <c r="C32" s="10">
        <v>3</v>
      </c>
      <c r="D32" s="10">
        <v>26</v>
      </c>
      <c r="E32" s="7">
        <v>0</v>
      </c>
      <c r="F32" s="7">
        <v>8</v>
      </c>
      <c r="G32" s="7">
        <v>16</v>
      </c>
      <c r="H32" s="13">
        <v>0</v>
      </c>
      <c r="I32" s="13">
        <v>3</v>
      </c>
      <c r="J32" s="13">
        <v>12</v>
      </c>
      <c r="K32" s="14">
        <f t="shared" si="1"/>
        <v>834</v>
      </c>
      <c r="L32" s="10">
        <v>1</v>
      </c>
      <c r="M32" s="10">
        <v>4</v>
      </c>
      <c r="N32" s="10">
        <v>29</v>
      </c>
      <c r="O32" s="7">
        <v>0</v>
      </c>
      <c r="P32" s="7">
        <v>10</v>
      </c>
      <c r="Q32" s="7">
        <v>7</v>
      </c>
      <c r="R32" s="13">
        <v>0</v>
      </c>
      <c r="S32" s="13">
        <v>1</v>
      </c>
      <c r="T32" s="13">
        <v>12</v>
      </c>
      <c r="U32" s="14">
        <f t="shared" si="2"/>
        <v>858</v>
      </c>
      <c r="V32" s="10">
        <v>2</v>
      </c>
      <c r="W32" s="10">
        <v>11</v>
      </c>
      <c r="X32" s="10">
        <v>25</v>
      </c>
      <c r="Y32" s="7">
        <v>0</v>
      </c>
      <c r="Z32" s="7">
        <v>10</v>
      </c>
      <c r="AA32" s="7">
        <v>5</v>
      </c>
      <c r="AB32" s="13">
        <v>0</v>
      </c>
      <c r="AC32" s="13">
        <v>0</v>
      </c>
      <c r="AD32" s="13">
        <v>27</v>
      </c>
      <c r="AE32" s="14">
        <f t="shared" si="3"/>
        <v>1407</v>
      </c>
      <c r="AF32" s="17">
        <f t="shared" si="0"/>
        <v>3099</v>
      </c>
      <c r="AG32" s="3">
        <f t="shared" si="233"/>
        <v>2</v>
      </c>
      <c r="AH32" s="3">
        <f t="shared" si="234"/>
        <v>3</v>
      </c>
      <c r="AI32" s="3">
        <f t="shared" si="235"/>
        <v>24</v>
      </c>
      <c r="AJ32" s="3">
        <f t="shared" si="236"/>
        <v>2</v>
      </c>
      <c r="AK32" s="3">
        <f t="shared" si="237"/>
        <v>4</v>
      </c>
      <c r="AL32" s="3">
        <f t="shared" si="238"/>
        <v>18</v>
      </c>
      <c r="AM32" s="3">
        <f t="shared" si="239"/>
        <v>3</v>
      </c>
      <c r="AN32" s="3">
        <f t="shared" si="240"/>
        <v>10</v>
      </c>
      <c r="AO32" s="3">
        <f t="shared" si="241"/>
        <v>27</v>
      </c>
      <c r="AP32" s="3">
        <f t="shared" si="242"/>
        <v>8</v>
      </c>
      <c r="AQ32" s="3">
        <f t="shared" si="243"/>
        <v>7</v>
      </c>
      <c r="AR32" s="3">
        <f t="shared" si="244"/>
        <v>9</v>
      </c>
    </row>
    <row r="33" spans="1:44" x14ac:dyDescent="0.2">
      <c r="A33" s="4">
        <v>46218</v>
      </c>
      <c r="B33" s="10">
        <v>1</v>
      </c>
      <c r="C33" s="10">
        <v>3</v>
      </c>
      <c r="D33" s="10">
        <v>6</v>
      </c>
      <c r="E33" s="7">
        <v>0</v>
      </c>
      <c r="F33" s="7">
        <v>8</v>
      </c>
      <c r="G33" s="7">
        <v>13</v>
      </c>
      <c r="H33" s="13">
        <v>0</v>
      </c>
      <c r="I33" s="13">
        <v>3</v>
      </c>
      <c r="J33" s="13">
        <v>11</v>
      </c>
      <c r="K33" s="14">
        <f>(B33*12*30)+(C33*30)+D33+(E33*12*30)+(F33*30)+G33+(H33*12*30)+(I33*30)+J33</f>
        <v>810</v>
      </c>
      <c r="L33" s="10">
        <v>1</v>
      </c>
      <c r="M33" s="10">
        <v>4</v>
      </c>
      <c r="N33" s="10">
        <v>14</v>
      </c>
      <c r="O33" s="7">
        <v>0</v>
      </c>
      <c r="P33" s="7">
        <v>10</v>
      </c>
      <c r="Q33" s="7">
        <v>13</v>
      </c>
      <c r="R33" s="13">
        <v>0</v>
      </c>
      <c r="S33" s="13">
        <v>1</v>
      </c>
      <c r="T33" s="13">
        <v>8</v>
      </c>
      <c r="U33" s="14">
        <f t="shared" si="2"/>
        <v>845</v>
      </c>
      <c r="V33" s="10">
        <v>2</v>
      </c>
      <c r="W33" s="10">
        <v>8</v>
      </c>
      <c r="X33" s="10">
        <v>2</v>
      </c>
      <c r="Y33" s="7">
        <v>0</v>
      </c>
      <c r="Z33" s="7">
        <v>10</v>
      </c>
      <c r="AA33" s="7">
        <v>7</v>
      </c>
      <c r="AB33" s="13">
        <v>0</v>
      </c>
      <c r="AC33" s="13">
        <v>1</v>
      </c>
      <c r="AD33" s="13">
        <v>28</v>
      </c>
      <c r="AE33" s="14">
        <f t="shared" si="3"/>
        <v>1327</v>
      </c>
      <c r="AF33" s="17">
        <f t="shared" si="0"/>
        <v>2982</v>
      </c>
      <c r="AG33" s="3">
        <f t="shared" ref="AG33:AG38" si="245">INT(K33/360)</f>
        <v>2</v>
      </c>
      <c r="AH33" s="3">
        <f t="shared" ref="AH33:AH38" si="246">INT(MOD(K33,360)/30)</f>
        <v>3</v>
      </c>
      <c r="AI33" s="3">
        <f t="shared" ref="AI33:AI38" si="247">MOD(K33,30)</f>
        <v>0</v>
      </c>
      <c r="AJ33" s="3">
        <f t="shared" ref="AJ33:AJ38" si="248">INT(U33/360)</f>
        <v>2</v>
      </c>
      <c r="AK33" s="3">
        <f t="shared" ref="AK33:AK38" si="249">INT(MOD(U33,360)/30)</f>
        <v>4</v>
      </c>
      <c r="AL33" s="3">
        <f t="shared" ref="AL33:AL38" si="250">MOD(U33,30)</f>
        <v>5</v>
      </c>
      <c r="AM33" s="3">
        <f t="shared" ref="AM33:AM38" si="251">INT(AE33/360)</f>
        <v>3</v>
      </c>
      <c r="AN33" s="3">
        <f t="shared" ref="AN33:AN38" si="252">INT(MOD(AE33,360)/30)</f>
        <v>8</v>
      </c>
      <c r="AO33" s="3">
        <f t="shared" ref="AO33:AO38" si="253">MOD(AE33,30)</f>
        <v>7</v>
      </c>
      <c r="AP33" s="3">
        <f t="shared" ref="AP33:AP38" si="254">INT(AF33/360)</f>
        <v>8</v>
      </c>
      <c r="AQ33" s="3">
        <f t="shared" ref="AQ33:AQ38" si="255">INT(MOD(AF33,360)/30)</f>
        <v>3</v>
      </c>
      <c r="AR33" s="3">
        <f t="shared" ref="AR33:AR38" si="256">MOD(MOD(AF33,360),30)</f>
        <v>12</v>
      </c>
    </row>
    <row r="34" spans="1:44" x14ac:dyDescent="0.2">
      <c r="A34" s="4">
        <v>46219</v>
      </c>
      <c r="B34" s="10">
        <v>1</v>
      </c>
      <c r="C34" s="10">
        <v>2</v>
      </c>
      <c r="D34" s="10">
        <v>26</v>
      </c>
      <c r="E34" s="7">
        <v>0</v>
      </c>
      <c r="F34" s="7">
        <v>10</v>
      </c>
      <c r="G34" s="7">
        <v>10</v>
      </c>
      <c r="H34" s="13">
        <v>0</v>
      </c>
      <c r="I34" s="13">
        <v>3</v>
      </c>
      <c r="J34" s="13">
        <v>24</v>
      </c>
      <c r="K34" s="14">
        <f t="shared" si="1"/>
        <v>870</v>
      </c>
      <c r="L34" s="10">
        <v>1</v>
      </c>
      <c r="M34" s="10">
        <v>3</v>
      </c>
      <c r="N34" s="10">
        <v>17</v>
      </c>
      <c r="O34" s="7">
        <v>0</v>
      </c>
      <c r="P34" s="7">
        <v>11</v>
      </c>
      <c r="Q34" s="7">
        <v>17</v>
      </c>
      <c r="R34" s="13">
        <v>0</v>
      </c>
      <c r="S34" s="13">
        <v>2</v>
      </c>
      <c r="T34" s="13">
        <v>3</v>
      </c>
      <c r="U34" s="14">
        <f t="shared" si="2"/>
        <v>877</v>
      </c>
      <c r="V34" s="10">
        <v>2</v>
      </c>
      <c r="W34" s="10">
        <v>9</v>
      </c>
      <c r="X34" s="10">
        <v>0</v>
      </c>
      <c r="Y34" s="7">
        <v>0</v>
      </c>
      <c r="Z34" s="7">
        <v>10</v>
      </c>
      <c r="AA34" s="7">
        <v>11</v>
      </c>
      <c r="AB34" s="13">
        <v>0</v>
      </c>
      <c r="AC34" s="13">
        <v>2</v>
      </c>
      <c r="AD34" s="13">
        <v>23</v>
      </c>
      <c r="AE34" s="14">
        <f t="shared" si="3"/>
        <v>1384</v>
      </c>
      <c r="AF34" s="17">
        <f t="shared" si="0"/>
        <v>3131</v>
      </c>
      <c r="AG34" s="3">
        <f t="shared" si="245"/>
        <v>2</v>
      </c>
      <c r="AH34" s="3">
        <f t="shared" si="246"/>
        <v>5</v>
      </c>
      <c r="AI34" s="3">
        <f t="shared" si="247"/>
        <v>0</v>
      </c>
      <c r="AJ34" s="3">
        <f t="shared" si="248"/>
        <v>2</v>
      </c>
      <c r="AK34" s="3">
        <f t="shared" si="249"/>
        <v>5</v>
      </c>
      <c r="AL34" s="3">
        <f t="shared" si="250"/>
        <v>7</v>
      </c>
      <c r="AM34" s="3">
        <f t="shared" si="251"/>
        <v>3</v>
      </c>
      <c r="AN34" s="3">
        <f t="shared" si="252"/>
        <v>10</v>
      </c>
      <c r="AO34" s="3">
        <f t="shared" si="253"/>
        <v>4</v>
      </c>
      <c r="AP34" s="3">
        <f t="shared" si="254"/>
        <v>8</v>
      </c>
      <c r="AQ34" s="3">
        <f t="shared" si="255"/>
        <v>8</v>
      </c>
      <c r="AR34" s="3">
        <f t="shared" si="256"/>
        <v>11</v>
      </c>
    </row>
    <row r="35" spans="1:44" x14ac:dyDescent="0.2">
      <c r="A35" s="4">
        <v>46220</v>
      </c>
      <c r="B35" s="10">
        <v>1</v>
      </c>
      <c r="C35" s="10">
        <v>4</v>
      </c>
      <c r="D35" s="10">
        <v>21</v>
      </c>
      <c r="E35" s="7">
        <v>0</v>
      </c>
      <c r="F35" s="7">
        <v>8</v>
      </c>
      <c r="G35" s="7">
        <v>8</v>
      </c>
      <c r="H35" s="13">
        <v>0</v>
      </c>
      <c r="I35" s="13">
        <v>3</v>
      </c>
      <c r="J35" s="13">
        <v>6</v>
      </c>
      <c r="K35" s="14">
        <f t="shared" si="1"/>
        <v>845</v>
      </c>
      <c r="L35" s="10">
        <v>1</v>
      </c>
      <c r="M35" s="10">
        <v>4</v>
      </c>
      <c r="N35" s="10">
        <v>24</v>
      </c>
      <c r="O35" s="7">
        <v>0</v>
      </c>
      <c r="P35" s="7">
        <v>9</v>
      </c>
      <c r="Q35" s="7">
        <v>23</v>
      </c>
      <c r="R35" s="13">
        <v>0</v>
      </c>
      <c r="S35" s="13">
        <v>1</v>
      </c>
      <c r="T35" s="13">
        <v>28</v>
      </c>
      <c r="U35" s="14">
        <f t="shared" si="2"/>
        <v>855</v>
      </c>
      <c r="V35" s="10">
        <v>2</v>
      </c>
      <c r="W35" s="10">
        <v>10</v>
      </c>
      <c r="X35" s="10">
        <v>14</v>
      </c>
      <c r="Y35" s="7">
        <v>0</v>
      </c>
      <c r="Z35" s="7">
        <v>8</v>
      </c>
      <c r="AA35" s="7">
        <v>20</v>
      </c>
      <c r="AB35" s="13">
        <v>0</v>
      </c>
      <c r="AC35" s="13">
        <v>1</v>
      </c>
      <c r="AD35" s="13">
        <v>11</v>
      </c>
      <c r="AE35" s="14">
        <f t="shared" si="3"/>
        <v>1335</v>
      </c>
      <c r="AF35" s="17">
        <f t="shared" si="0"/>
        <v>3035</v>
      </c>
      <c r="AG35" s="3">
        <f t="shared" si="245"/>
        <v>2</v>
      </c>
      <c r="AH35" s="3">
        <f t="shared" si="246"/>
        <v>4</v>
      </c>
      <c r="AI35" s="3">
        <f t="shared" si="247"/>
        <v>5</v>
      </c>
      <c r="AJ35" s="3">
        <f t="shared" si="248"/>
        <v>2</v>
      </c>
      <c r="AK35" s="3">
        <f t="shared" si="249"/>
        <v>4</v>
      </c>
      <c r="AL35" s="3">
        <f t="shared" si="250"/>
        <v>15</v>
      </c>
      <c r="AM35" s="3">
        <f t="shared" si="251"/>
        <v>3</v>
      </c>
      <c r="AN35" s="3">
        <f t="shared" si="252"/>
        <v>8</v>
      </c>
      <c r="AO35" s="3">
        <f t="shared" si="253"/>
        <v>15</v>
      </c>
      <c r="AP35" s="3">
        <f t="shared" si="254"/>
        <v>8</v>
      </c>
      <c r="AQ35" s="3">
        <f t="shared" si="255"/>
        <v>5</v>
      </c>
      <c r="AR35" s="3">
        <f t="shared" si="256"/>
        <v>5</v>
      </c>
    </row>
    <row r="36" spans="1:44" x14ac:dyDescent="0.2">
      <c r="A36" s="4">
        <v>46221</v>
      </c>
      <c r="B36" s="10">
        <v>1</v>
      </c>
      <c r="C36" s="10">
        <v>4</v>
      </c>
      <c r="D36" s="10">
        <v>12</v>
      </c>
      <c r="E36" s="7">
        <v>0</v>
      </c>
      <c r="F36" s="7">
        <v>8</v>
      </c>
      <c r="G36" s="7">
        <v>25</v>
      </c>
      <c r="H36" s="13">
        <v>0</v>
      </c>
      <c r="I36" s="13">
        <v>3</v>
      </c>
      <c r="J36" s="13">
        <v>13</v>
      </c>
      <c r="K36" s="14">
        <f t="shared" ref="K36:K37" si="257">(B36*12*30)+(C36*30)+D36+(E36*12*30)+(F36*30)+G36+(H36*12*30)+(I36*30)+J36</f>
        <v>860</v>
      </c>
      <c r="L36" s="10">
        <v>1</v>
      </c>
      <c r="M36" s="10">
        <v>5</v>
      </c>
      <c r="N36" s="10">
        <v>0</v>
      </c>
      <c r="O36" s="7">
        <v>0</v>
      </c>
      <c r="P36" s="7">
        <v>10</v>
      </c>
      <c r="Q36" s="7">
        <v>0</v>
      </c>
      <c r="R36" s="13">
        <v>0</v>
      </c>
      <c r="S36" s="13">
        <v>1</v>
      </c>
      <c r="T36" s="13">
        <v>23</v>
      </c>
      <c r="U36" s="14">
        <f t="shared" ref="U36:U37" si="258">(L36*12*30)+(M36*30)+N36+(O36*12*30)+(P36*30)+Q36+(R36*12*30)+(S36*30)+T36</f>
        <v>863</v>
      </c>
      <c r="V36" s="10">
        <v>2</v>
      </c>
      <c r="W36" s="10">
        <v>9</v>
      </c>
      <c r="X36" s="10">
        <v>20</v>
      </c>
      <c r="Y36" s="7">
        <v>0</v>
      </c>
      <c r="Z36" s="7">
        <v>9</v>
      </c>
      <c r="AA36" s="7">
        <v>20</v>
      </c>
      <c r="AB36" s="13">
        <v>0</v>
      </c>
      <c r="AC36" s="13">
        <v>1</v>
      </c>
      <c r="AD36" s="13">
        <v>20</v>
      </c>
      <c r="AE36" s="14">
        <f t="shared" ref="AE36:AE37" si="259">(V36*12*30)+(W36*30)+X36+(Y36*12*30)+(Z36*30)+AA36+(AB36*12*30)+(AC36*30)+AD36</f>
        <v>1350</v>
      </c>
      <c r="AF36" s="17">
        <f t="shared" ref="AF36:AF37" si="260">K36+U36+AE36</f>
        <v>3073</v>
      </c>
      <c r="AG36" s="3">
        <f t="shared" si="245"/>
        <v>2</v>
      </c>
      <c r="AH36" s="3">
        <f t="shared" si="246"/>
        <v>4</v>
      </c>
      <c r="AI36" s="3">
        <f t="shared" si="247"/>
        <v>20</v>
      </c>
      <c r="AJ36" s="3">
        <f t="shared" si="248"/>
        <v>2</v>
      </c>
      <c r="AK36" s="3">
        <f t="shared" si="249"/>
        <v>4</v>
      </c>
      <c r="AL36" s="3">
        <f t="shared" si="250"/>
        <v>23</v>
      </c>
      <c r="AM36" s="3">
        <f t="shared" si="251"/>
        <v>3</v>
      </c>
      <c r="AN36" s="3">
        <f t="shared" si="252"/>
        <v>9</v>
      </c>
      <c r="AO36" s="3">
        <f t="shared" si="253"/>
        <v>0</v>
      </c>
      <c r="AP36" s="3">
        <f t="shared" si="254"/>
        <v>8</v>
      </c>
      <c r="AQ36" s="3">
        <f t="shared" si="255"/>
        <v>6</v>
      </c>
      <c r="AR36" s="3">
        <f t="shared" si="256"/>
        <v>13</v>
      </c>
    </row>
    <row r="37" spans="1:44" x14ac:dyDescent="0.2">
      <c r="A37" s="4">
        <v>46222</v>
      </c>
      <c r="B37" s="10">
        <v>1</v>
      </c>
      <c r="C37" s="10">
        <v>1</v>
      </c>
      <c r="D37" s="10">
        <v>6</v>
      </c>
      <c r="E37" s="7">
        <v>0</v>
      </c>
      <c r="F37" s="7">
        <v>11</v>
      </c>
      <c r="G37" s="7">
        <v>17</v>
      </c>
      <c r="H37" s="13">
        <v>0</v>
      </c>
      <c r="I37" s="13">
        <v>3</v>
      </c>
      <c r="J37" s="13">
        <v>14</v>
      </c>
      <c r="K37" s="14">
        <f t="shared" si="257"/>
        <v>847</v>
      </c>
      <c r="L37" s="10">
        <v>1</v>
      </c>
      <c r="M37" s="10">
        <v>2</v>
      </c>
      <c r="N37" s="10">
        <v>23</v>
      </c>
      <c r="O37" s="7">
        <v>1</v>
      </c>
      <c r="P37" s="7">
        <v>0</v>
      </c>
      <c r="Q37" s="7">
        <v>11</v>
      </c>
      <c r="R37" s="13">
        <v>0</v>
      </c>
      <c r="S37" s="13">
        <v>1</v>
      </c>
      <c r="T37" s="13">
        <v>6</v>
      </c>
      <c r="U37" s="14">
        <f t="shared" si="258"/>
        <v>850</v>
      </c>
      <c r="V37" s="10">
        <v>2</v>
      </c>
      <c r="W37" s="10">
        <v>9</v>
      </c>
      <c r="X37" s="10">
        <v>0</v>
      </c>
      <c r="Y37" s="7">
        <v>0</v>
      </c>
      <c r="Z37" s="7">
        <v>10</v>
      </c>
      <c r="AA37" s="7">
        <v>11</v>
      </c>
      <c r="AB37" s="13">
        <v>0</v>
      </c>
      <c r="AC37" s="13">
        <v>1</v>
      </c>
      <c r="AD37" s="13">
        <v>6</v>
      </c>
      <c r="AE37" s="14">
        <f t="shared" si="259"/>
        <v>1337</v>
      </c>
      <c r="AF37" s="17">
        <f t="shared" si="260"/>
        <v>3034</v>
      </c>
      <c r="AG37" s="3">
        <f t="shared" si="245"/>
        <v>2</v>
      </c>
      <c r="AH37" s="3">
        <f t="shared" si="246"/>
        <v>4</v>
      </c>
      <c r="AI37" s="3">
        <f t="shared" si="247"/>
        <v>7</v>
      </c>
      <c r="AJ37" s="3">
        <f t="shared" si="248"/>
        <v>2</v>
      </c>
      <c r="AK37" s="3">
        <f t="shared" si="249"/>
        <v>4</v>
      </c>
      <c r="AL37" s="3">
        <f t="shared" si="250"/>
        <v>10</v>
      </c>
      <c r="AM37" s="3">
        <f t="shared" si="251"/>
        <v>3</v>
      </c>
      <c r="AN37" s="3">
        <f t="shared" si="252"/>
        <v>8</v>
      </c>
      <c r="AO37" s="3">
        <f t="shared" si="253"/>
        <v>17</v>
      </c>
      <c r="AP37" s="3">
        <f t="shared" si="254"/>
        <v>8</v>
      </c>
      <c r="AQ37" s="3">
        <f t="shared" si="255"/>
        <v>5</v>
      </c>
      <c r="AR37" s="3">
        <f t="shared" si="256"/>
        <v>4</v>
      </c>
    </row>
    <row r="38" spans="1:44" x14ac:dyDescent="0.2">
      <c r="A38" s="4">
        <v>46223</v>
      </c>
      <c r="B38" s="10">
        <v>1</v>
      </c>
      <c r="C38" s="10">
        <v>3</v>
      </c>
      <c r="D38" s="10">
        <v>8</v>
      </c>
      <c r="E38" s="7">
        <v>0</v>
      </c>
      <c r="F38" s="7">
        <v>9</v>
      </c>
      <c r="G38" s="7">
        <v>26</v>
      </c>
      <c r="H38" s="13">
        <v>0</v>
      </c>
      <c r="I38" s="13">
        <v>2</v>
      </c>
      <c r="J38" s="13">
        <v>26</v>
      </c>
      <c r="K38" s="14">
        <f t="shared" ref="K38:K39" si="261">(B38*12*30)+(C38*30)+D38+(E38*12*30)+(F38*30)+G38+(H38*12*30)+(I38*30)+J38</f>
        <v>840</v>
      </c>
      <c r="L38" s="10">
        <v>1</v>
      </c>
      <c r="M38" s="10">
        <v>5</v>
      </c>
      <c r="N38" s="10">
        <v>6</v>
      </c>
      <c r="O38" s="7">
        <v>0</v>
      </c>
      <c r="P38" s="7">
        <v>9</v>
      </c>
      <c r="Q38" s="7">
        <v>15</v>
      </c>
      <c r="R38" s="13">
        <v>0</v>
      </c>
      <c r="S38" s="13">
        <v>1</v>
      </c>
      <c r="T38" s="13">
        <v>4</v>
      </c>
      <c r="U38" s="14">
        <f t="shared" ref="U38:U39" si="262">(L38*12*30)+(M38*30)+N38+(O38*12*30)+(P38*30)+Q38+(R38*12*30)+(S38*30)+T38</f>
        <v>835</v>
      </c>
      <c r="V38" s="10">
        <v>3</v>
      </c>
      <c r="W38" s="10">
        <v>0</v>
      </c>
      <c r="X38" s="10">
        <v>2</v>
      </c>
      <c r="Y38" s="7">
        <v>0</v>
      </c>
      <c r="Z38" s="7">
        <v>7</v>
      </c>
      <c r="AA38" s="7">
        <v>25</v>
      </c>
      <c r="AB38" s="13">
        <v>0</v>
      </c>
      <c r="AC38" s="13">
        <v>1</v>
      </c>
      <c r="AD38" s="13">
        <v>1</v>
      </c>
      <c r="AE38" s="14">
        <f t="shared" ref="AE38:AE39" si="263">(V38*12*30)+(W38*30)+X38+(Y38*12*30)+(Z38*30)+AA38+(AB38*12*30)+(AC38*30)+AD38</f>
        <v>1348</v>
      </c>
      <c r="AF38" s="17">
        <f t="shared" ref="AF38:AF39" si="264">K38+U38+AE38</f>
        <v>3023</v>
      </c>
      <c r="AG38" s="3">
        <f t="shared" si="245"/>
        <v>2</v>
      </c>
      <c r="AH38" s="3">
        <f t="shared" si="246"/>
        <v>4</v>
      </c>
      <c r="AI38" s="3">
        <f t="shared" si="247"/>
        <v>0</v>
      </c>
      <c r="AJ38" s="3">
        <f t="shared" si="248"/>
        <v>2</v>
      </c>
      <c r="AK38" s="3">
        <f t="shared" si="249"/>
        <v>3</v>
      </c>
      <c r="AL38" s="3">
        <f t="shared" si="250"/>
        <v>25</v>
      </c>
      <c r="AM38" s="3">
        <f t="shared" si="251"/>
        <v>3</v>
      </c>
      <c r="AN38" s="3">
        <f t="shared" si="252"/>
        <v>8</v>
      </c>
      <c r="AO38" s="3">
        <f t="shared" si="253"/>
        <v>28</v>
      </c>
      <c r="AP38" s="3">
        <f t="shared" si="254"/>
        <v>8</v>
      </c>
      <c r="AQ38" s="3">
        <f t="shared" si="255"/>
        <v>4</v>
      </c>
      <c r="AR38" s="3">
        <f t="shared" si="256"/>
        <v>23</v>
      </c>
    </row>
    <row r="39" spans="1:44" x14ac:dyDescent="0.2">
      <c r="A39" s="4">
        <v>46224</v>
      </c>
      <c r="B39" s="10">
        <v>1</v>
      </c>
      <c r="C39" s="10">
        <v>3</v>
      </c>
      <c r="D39" s="10">
        <v>17</v>
      </c>
      <c r="E39" s="7">
        <v>0</v>
      </c>
      <c r="F39" s="7">
        <v>9</v>
      </c>
      <c r="G39" s="7">
        <v>9</v>
      </c>
      <c r="H39" s="13">
        <v>0</v>
      </c>
      <c r="I39" s="13">
        <v>1</v>
      </c>
      <c r="J39" s="13">
        <v>19</v>
      </c>
      <c r="K39" s="14">
        <f t="shared" si="261"/>
        <v>795</v>
      </c>
      <c r="L39" s="10">
        <v>1</v>
      </c>
      <c r="M39" s="10">
        <v>6</v>
      </c>
      <c r="N39" s="10">
        <v>0</v>
      </c>
      <c r="O39" s="7">
        <v>0</v>
      </c>
      <c r="P39" s="7">
        <v>8</v>
      </c>
      <c r="Q39" s="7">
        <v>19</v>
      </c>
      <c r="R39" s="13">
        <v>0</v>
      </c>
      <c r="S39" s="13">
        <v>1</v>
      </c>
      <c r="T39" s="13">
        <v>18</v>
      </c>
      <c r="U39" s="14">
        <f t="shared" si="262"/>
        <v>847</v>
      </c>
      <c r="V39" s="10">
        <v>2</v>
      </c>
      <c r="W39" s="10">
        <v>10</v>
      </c>
      <c r="X39" s="10">
        <v>14</v>
      </c>
      <c r="Y39" s="7">
        <v>0</v>
      </c>
      <c r="Z39" s="7">
        <v>8</v>
      </c>
      <c r="AA39" s="7">
        <v>18</v>
      </c>
      <c r="AB39" s="13">
        <v>0</v>
      </c>
      <c r="AC39" s="13">
        <v>1</v>
      </c>
      <c r="AD39" s="13">
        <v>5</v>
      </c>
      <c r="AE39" s="14">
        <f t="shared" si="263"/>
        <v>1327</v>
      </c>
      <c r="AF39" s="17">
        <f t="shared" si="264"/>
        <v>2969</v>
      </c>
      <c r="AG39" s="3">
        <f t="shared" ref="AG39" si="265">INT(K39/360)</f>
        <v>2</v>
      </c>
      <c r="AH39" s="3">
        <f t="shared" ref="AH39" si="266">INT(MOD(K39,360)/30)</f>
        <v>2</v>
      </c>
      <c r="AI39" s="3">
        <f t="shared" ref="AI39" si="267">MOD(K39,30)</f>
        <v>15</v>
      </c>
      <c r="AJ39" s="3">
        <f t="shared" ref="AJ39" si="268">INT(U39/360)</f>
        <v>2</v>
      </c>
      <c r="AK39" s="3">
        <f t="shared" ref="AK39" si="269">INT(MOD(U39,360)/30)</f>
        <v>4</v>
      </c>
      <c r="AL39" s="3">
        <f t="shared" ref="AL39" si="270">MOD(U39,30)</f>
        <v>7</v>
      </c>
      <c r="AM39" s="3">
        <f t="shared" ref="AM39" si="271">INT(AE39/360)</f>
        <v>3</v>
      </c>
      <c r="AN39" s="3">
        <f t="shared" ref="AN39" si="272">INT(MOD(AE39,360)/30)</f>
        <v>8</v>
      </c>
      <c r="AO39" s="3">
        <f t="shared" ref="AO39" si="273">MOD(AE39,30)</f>
        <v>7</v>
      </c>
      <c r="AP39" s="3">
        <f t="shared" ref="AP39" si="274">INT(AF39/360)</f>
        <v>8</v>
      </c>
      <c r="AQ39" s="3">
        <f t="shared" ref="AQ39" si="275">INT(MOD(AF39,360)/30)</f>
        <v>2</v>
      </c>
      <c r="AR39" s="3">
        <f t="shared" ref="AR39" si="276">MOD(MOD(AF39,360),30)</f>
        <v>29</v>
      </c>
    </row>
    <row r="40" spans="1:44" x14ac:dyDescent="0.2">
      <c r="A40" s="4">
        <v>46225</v>
      </c>
      <c r="B40" s="10">
        <v>1</v>
      </c>
      <c r="C40" s="10">
        <v>4</v>
      </c>
      <c r="D40" s="10">
        <v>9</v>
      </c>
      <c r="E40" s="7">
        <v>0</v>
      </c>
      <c r="F40" s="7">
        <v>9</v>
      </c>
      <c r="G40" s="7">
        <v>1</v>
      </c>
      <c r="H40" s="13">
        <v>0</v>
      </c>
      <c r="I40" s="13">
        <v>1</v>
      </c>
      <c r="J40" s="13">
        <v>12</v>
      </c>
      <c r="K40" s="14">
        <f t="shared" ref="K40:K41" si="277">(B40*12*30)+(C40*30)+D40+(E40*12*30)+(F40*30)+G40+(H40*12*30)+(I40*30)+J40</f>
        <v>802</v>
      </c>
      <c r="L40" s="10">
        <v>1</v>
      </c>
      <c r="M40" s="10">
        <v>3</v>
      </c>
      <c r="N40" s="10">
        <v>24</v>
      </c>
      <c r="O40" s="7">
        <v>0</v>
      </c>
      <c r="P40" s="7">
        <v>9</v>
      </c>
      <c r="Q40" s="7">
        <v>15</v>
      </c>
      <c r="R40" s="13">
        <v>0</v>
      </c>
      <c r="S40" s="13">
        <v>1</v>
      </c>
      <c r="T40" s="13">
        <v>8</v>
      </c>
      <c r="U40" s="14">
        <f t="shared" ref="U40:U41" si="278">(L40*12*30)+(M40*30)+N40+(O40*12*30)+(P40*30)+Q40+(R40*12*30)+(S40*30)+T40</f>
        <v>797</v>
      </c>
      <c r="V40" s="10">
        <v>2</v>
      </c>
      <c r="W40" s="10">
        <v>11</v>
      </c>
      <c r="X40" s="10">
        <v>3</v>
      </c>
      <c r="Y40" s="7">
        <v>0</v>
      </c>
      <c r="Z40" s="7">
        <v>8</v>
      </c>
      <c r="AA40" s="7">
        <v>15</v>
      </c>
      <c r="AB40" s="13">
        <v>0</v>
      </c>
      <c r="AC40" s="13">
        <v>1</v>
      </c>
      <c r="AD40" s="13">
        <v>3</v>
      </c>
      <c r="AE40" s="14">
        <f t="shared" ref="AE40:AE41" si="279">(V40*12*30)+(W40*30)+X40+(Y40*12*30)+(Z40*30)+AA40+(AB40*12*30)+(AC40*30)+AD40</f>
        <v>1341</v>
      </c>
      <c r="AF40" s="17">
        <f t="shared" ref="AF40:AF41" si="280">K40+U40+AE40</f>
        <v>2940</v>
      </c>
      <c r="AG40" s="3">
        <f t="shared" ref="AG40" si="281">INT(K40/360)</f>
        <v>2</v>
      </c>
      <c r="AH40" s="3">
        <f t="shared" ref="AH40" si="282">INT(MOD(K40,360)/30)</f>
        <v>2</v>
      </c>
      <c r="AI40" s="3">
        <f t="shared" ref="AI40" si="283">MOD(K40,30)</f>
        <v>22</v>
      </c>
      <c r="AJ40" s="3">
        <f t="shared" ref="AJ40" si="284">INT(U40/360)</f>
        <v>2</v>
      </c>
      <c r="AK40" s="3">
        <f t="shared" ref="AK40" si="285">INT(MOD(U40,360)/30)</f>
        <v>2</v>
      </c>
      <c r="AL40" s="3">
        <f t="shared" ref="AL40" si="286">MOD(U40,30)</f>
        <v>17</v>
      </c>
      <c r="AM40" s="3">
        <f t="shared" ref="AM40" si="287">INT(AE40/360)</f>
        <v>3</v>
      </c>
      <c r="AN40" s="3">
        <f t="shared" ref="AN40" si="288">INT(MOD(AE40,360)/30)</f>
        <v>8</v>
      </c>
      <c r="AO40" s="3">
        <f t="shared" ref="AO40" si="289">MOD(AE40,30)</f>
        <v>21</v>
      </c>
      <c r="AP40" s="3">
        <f t="shared" ref="AP40" si="290">INT(AF40/360)</f>
        <v>8</v>
      </c>
      <c r="AQ40" s="3">
        <f t="shared" ref="AQ40" si="291">INT(MOD(AF40,360)/30)</f>
        <v>2</v>
      </c>
      <c r="AR40" s="3">
        <f t="shared" ref="AR40" si="292">MOD(MOD(AF40,360),30)</f>
        <v>0</v>
      </c>
    </row>
    <row r="41" spans="1:44" x14ac:dyDescent="0.2">
      <c r="A41" s="4">
        <v>46226</v>
      </c>
      <c r="B41" s="10"/>
      <c r="C41" s="10"/>
      <c r="D41" s="10"/>
      <c r="E41" s="7"/>
      <c r="F41" s="7"/>
      <c r="G41" s="7"/>
      <c r="H41" s="13"/>
      <c r="I41" s="13"/>
      <c r="J41" s="13"/>
      <c r="K41" s="14">
        <f t="shared" si="277"/>
        <v>0</v>
      </c>
      <c r="L41" s="10"/>
      <c r="M41" s="10"/>
      <c r="N41" s="10"/>
      <c r="O41" s="7"/>
      <c r="P41" s="7"/>
      <c r="Q41" s="7"/>
      <c r="R41" s="13"/>
      <c r="S41" s="13"/>
      <c r="T41" s="13"/>
      <c r="U41" s="14">
        <f t="shared" si="278"/>
        <v>0</v>
      </c>
      <c r="V41" s="10"/>
      <c r="W41" s="10"/>
      <c r="X41" s="10"/>
      <c r="Y41" s="7"/>
      <c r="Z41" s="7"/>
      <c r="AA41" s="7"/>
      <c r="AB41" s="13"/>
      <c r="AC41" s="13"/>
      <c r="AD41" s="13"/>
      <c r="AE41" s="14">
        <f t="shared" si="279"/>
        <v>0</v>
      </c>
      <c r="AF41" s="17">
        <f t="shared" si="280"/>
        <v>0</v>
      </c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x14ac:dyDescent="0.2">
      <c r="A42" s="4">
        <v>46227</v>
      </c>
      <c r="B42" s="10"/>
      <c r="C42" s="10"/>
      <c r="D42" s="10"/>
      <c r="E42" s="7"/>
      <c r="F42" s="7"/>
      <c r="G42" s="7"/>
      <c r="H42" s="13"/>
      <c r="I42" s="13"/>
      <c r="J42" s="13"/>
      <c r="K42" s="14">
        <f t="shared" ref="K42:K43" si="293">(B42*12*30)+(C42*30)+D42+(E42*12*30)+(F42*30)+G42+(H42*12*30)+(I42*30)+J42</f>
        <v>0</v>
      </c>
      <c r="L42" s="10"/>
      <c r="M42" s="10"/>
      <c r="N42" s="10"/>
      <c r="O42" s="7"/>
      <c r="P42" s="7"/>
      <c r="Q42" s="7"/>
      <c r="R42" s="13"/>
      <c r="S42" s="13"/>
      <c r="T42" s="13"/>
      <c r="U42" s="14">
        <f t="shared" ref="U42:U43" si="294">(L42*12*30)+(M42*30)+N42+(O42*12*30)+(P42*30)+Q42+(R42*12*30)+(S42*30)+T42</f>
        <v>0</v>
      </c>
      <c r="V42" s="10"/>
      <c r="W42" s="10"/>
      <c r="X42" s="10"/>
      <c r="Y42" s="7"/>
      <c r="Z42" s="7"/>
      <c r="AA42" s="7"/>
      <c r="AB42" s="13"/>
      <c r="AC42" s="13"/>
      <c r="AD42" s="13"/>
      <c r="AE42" s="14">
        <f t="shared" ref="AE42:AE43" si="295">(V42*12*30)+(W42*30)+X42+(Y42*12*30)+(Z42*30)+AA42+(AB42*12*30)+(AC42*30)+AD42</f>
        <v>0</v>
      </c>
      <c r="AF42" s="17">
        <f t="shared" ref="AF42:AF43" si="296">K42+U42+AE42</f>
        <v>0</v>
      </c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x14ac:dyDescent="0.2">
      <c r="A43" s="4">
        <v>46228</v>
      </c>
      <c r="B43" s="10"/>
      <c r="C43" s="10"/>
      <c r="D43" s="10"/>
      <c r="E43" s="7"/>
      <c r="F43" s="7"/>
      <c r="G43" s="7"/>
      <c r="H43" s="13"/>
      <c r="I43" s="13"/>
      <c r="J43" s="13"/>
      <c r="K43" s="14">
        <f t="shared" si="293"/>
        <v>0</v>
      </c>
      <c r="L43" s="10"/>
      <c r="M43" s="10"/>
      <c r="N43" s="10"/>
      <c r="O43" s="7"/>
      <c r="P43" s="7"/>
      <c r="Q43" s="7"/>
      <c r="R43" s="13"/>
      <c r="S43" s="13"/>
      <c r="T43" s="13"/>
      <c r="U43" s="14">
        <f t="shared" si="294"/>
        <v>0</v>
      </c>
      <c r="V43" s="10"/>
      <c r="W43" s="10"/>
      <c r="X43" s="10"/>
      <c r="Y43" s="7"/>
      <c r="Z43" s="7"/>
      <c r="AA43" s="7"/>
      <c r="AB43" s="13"/>
      <c r="AC43" s="13"/>
      <c r="AD43" s="13"/>
      <c r="AE43" s="14">
        <f t="shared" si="295"/>
        <v>0</v>
      </c>
      <c r="AF43" s="17">
        <f t="shared" si="296"/>
        <v>0</v>
      </c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x14ac:dyDescent="0.2">
      <c r="A44" s="4">
        <v>46229</v>
      </c>
      <c r="B44" s="10"/>
      <c r="C44" s="10"/>
      <c r="D44" s="10"/>
      <c r="E44" s="7"/>
      <c r="F44" s="7"/>
      <c r="G44" s="7"/>
      <c r="H44" s="13"/>
      <c r="I44" s="13"/>
      <c r="J44" s="13"/>
      <c r="K44" s="14">
        <f t="shared" ref="K44:K45" si="297">(B44*12*30)+(C44*30)+D44+(E44*12*30)+(F44*30)+G44+(H44*12*30)+(I44*30)+J44</f>
        <v>0</v>
      </c>
      <c r="L44" s="10"/>
      <c r="M44" s="10"/>
      <c r="N44" s="10"/>
      <c r="O44" s="7"/>
      <c r="P44" s="7"/>
      <c r="Q44" s="7"/>
      <c r="R44" s="13"/>
      <c r="S44" s="13"/>
      <c r="T44" s="13"/>
      <c r="U44" s="14">
        <f t="shared" ref="U44:U45" si="298">(L44*12*30)+(M44*30)+N44+(O44*12*30)+(P44*30)+Q44+(R44*12*30)+(S44*30)+T44</f>
        <v>0</v>
      </c>
      <c r="V44" s="10"/>
      <c r="W44" s="10"/>
      <c r="X44" s="10"/>
      <c r="Y44" s="7"/>
      <c r="Z44" s="7"/>
      <c r="AA44" s="7"/>
      <c r="AB44" s="13"/>
      <c r="AC44" s="13"/>
      <c r="AD44" s="13"/>
      <c r="AE44" s="14">
        <f t="shared" ref="AE44:AE45" si="299">(V44*12*30)+(W44*30)+X44+(Y44*12*30)+(Z44*30)+AA44+(AB44*12*30)+(AC44*30)+AD44</f>
        <v>0</v>
      </c>
      <c r="AF44" s="17">
        <f t="shared" ref="AF44:AF45" si="300">K44+U44+AE44</f>
        <v>0</v>
      </c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x14ac:dyDescent="0.2">
      <c r="A45" s="4">
        <v>46230</v>
      </c>
      <c r="B45" s="10"/>
      <c r="C45" s="10"/>
      <c r="D45" s="10"/>
      <c r="E45" s="7"/>
      <c r="F45" s="7"/>
      <c r="G45" s="7"/>
      <c r="H45" s="13"/>
      <c r="I45" s="13"/>
      <c r="J45" s="13"/>
      <c r="K45" s="14">
        <f t="shared" si="297"/>
        <v>0</v>
      </c>
      <c r="L45" s="10"/>
      <c r="M45" s="10"/>
      <c r="N45" s="10"/>
      <c r="O45" s="7"/>
      <c r="P45" s="7"/>
      <c r="Q45" s="7"/>
      <c r="R45" s="13"/>
      <c r="S45" s="13"/>
      <c r="T45" s="13"/>
      <c r="U45" s="14">
        <f t="shared" si="298"/>
        <v>0</v>
      </c>
      <c r="V45" s="10"/>
      <c r="W45" s="10"/>
      <c r="X45" s="10"/>
      <c r="Y45" s="7"/>
      <c r="Z45" s="7"/>
      <c r="AA45" s="7"/>
      <c r="AB45" s="13"/>
      <c r="AC45" s="13"/>
      <c r="AD45" s="13"/>
      <c r="AE45" s="14">
        <f t="shared" si="299"/>
        <v>0</v>
      </c>
      <c r="AF45" s="17">
        <f t="shared" si="300"/>
        <v>0</v>
      </c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</sheetData>
  <mergeCells count="18">
    <mergeCell ref="AB3:AD3"/>
    <mergeCell ref="AG2:AO2"/>
    <mergeCell ref="AG3:AI3"/>
    <mergeCell ref="AJ3:AL3"/>
    <mergeCell ref="AM3:AO3"/>
    <mergeCell ref="AP2:AR3"/>
    <mergeCell ref="A1:AR1"/>
    <mergeCell ref="L2:U2"/>
    <mergeCell ref="V2:AE2"/>
    <mergeCell ref="B2:K2"/>
    <mergeCell ref="B3:D3"/>
    <mergeCell ref="E3:G3"/>
    <mergeCell ref="H3:J3"/>
    <mergeCell ref="L3:N3"/>
    <mergeCell ref="O3:Q3"/>
    <mergeCell ref="R3:T3"/>
    <mergeCell ref="V3:X3"/>
    <mergeCell ref="Y3:AA3"/>
  </mergeCells>
  <phoneticPr fontId="3" type="noConversion"/>
  <pageMargins left="0.7" right="0.7" top="0.75" bottom="0.75" header="0.3" footer="0.3"/>
  <pageSetup paperSize="5"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66FF-D114-4FF7-AA21-20028671EFEC}">
  <sheetPr>
    <pageSetUpPr fitToPage="1"/>
  </sheetPr>
  <dimension ref="A3:AE50"/>
  <sheetViews>
    <sheetView topLeftCell="O28" zoomScale="73" zoomScaleNormal="98" workbookViewId="0">
      <selection activeCell="V29" sqref="V29"/>
    </sheetView>
  </sheetViews>
  <sheetFormatPr defaultRowHeight="15" x14ac:dyDescent="0.2"/>
  <cols>
    <col min="1" max="1" width="13.71875" customWidth="1"/>
    <col min="2" max="2" width="13.1796875" customWidth="1"/>
    <col min="3" max="3" width="11.1640625" customWidth="1"/>
    <col min="4" max="4" width="14.390625" customWidth="1"/>
    <col min="5" max="5" width="11.8359375" customWidth="1"/>
    <col min="6" max="6" width="19.7734375" customWidth="1"/>
    <col min="7" max="7" width="13.31640625" customWidth="1"/>
    <col min="8" max="8" width="13.046875" customWidth="1"/>
    <col min="9" max="9" width="13.44921875" customWidth="1"/>
    <col min="10" max="10" width="13.1796875" customWidth="1"/>
    <col min="11" max="11" width="17.484375" customWidth="1"/>
    <col min="12" max="12" width="13.046875" customWidth="1"/>
    <col min="13" max="13" width="15.06640625" customWidth="1"/>
    <col min="14" max="14" width="13.98828125" customWidth="1"/>
    <col min="15" max="15" width="22.46484375" customWidth="1"/>
    <col min="16" max="16" width="13.046875" customWidth="1"/>
    <col min="17" max="17" width="16.94921875" customWidth="1"/>
    <col min="18" max="18" width="14.390625" customWidth="1"/>
    <col min="19" max="19" width="17.484375" customWidth="1"/>
    <col min="20" max="20" width="14.52734375" customWidth="1"/>
    <col min="21" max="21" width="14.2578125" customWidth="1"/>
    <col min="22" max="22" width="15.6015625" customWidth="1"/>
    <col min="23" max="23" width="14.52734375" customWidth="1"/>
    <col min="24" max="24" width="14.796875" customWidth="1"/>
    <col min="25" max="25" width="21.38671875" customWidth="1"/>
    <col min="26" max="26" width="16.6796875" customWidth="1"/>
    <col min="27" max="28" width="14.390625" customWidth="1"/>
    <col min="29" max="29" width="16.54296875" customWidth="1"/>
  </cols>
  <sheetData>
    <row r="3" spans="1:29" s="39" customFormat="1" ht="21" x14ac:dyDescent="0.2">
      <c r="A3" s="59" t="s">
        <v>4</v>
      </c>
      <c r="B3" s="59" t="s">
        <v>57</v>
      </c>
      <c r="C3" s="59"/>
      <c r="D3" s="59"/>
      <c r="E3" s="59"/>
      <c r="F3" s="59" t="s">
        <v>58</v>
      </c>
      <c r="G3" s="37" t="s">
        <v>59</v>
      </c>
      <c r="H3" s="59" t="s">
        <v>60</v>
      </c>
      <c r="I3" s="59" t="s">
        <v>61</v>
      </c>
      <c r="J3" s="59" t="s">
        <v>62</v>
      </c>
      <c r="K3" s="59" t="s">
        <v>63</v>
      </c>
      <c r="L3" s="58" t="s">
        <v>64</v>
      </c>
      <c r="M3" s="59" t="s">
        <v>65</v>
      </c>
      <c r="N3" s="58" t="s">
        <v>64</v>
      </c>
      <c r="O3" s="59" t="s">
        <v>66</v>
      </c>
      <c r="P3" s="58" t="s">
        <v>64</v>
      </c>
      <c r="Q3" s="59" t="s">
        <v>67</v>
      </c>
      <c r="R3" s="58" t="s">
        <v>64</v>
      </c>
      <c r="S3" s="59" t="s">
        <v>68</v>
      </c>
      <c r="T3" s="58" t="s">
        <v>64</v>
      </c>
      <c r="U3" s="59" t="s">
        <v>69</v>
      </c>
      <c r="V3" s="58" t="s">
        <v>64</v>
      </c>
      <c r="W3" s="59" t="s">
        <v>70</v>
      </c>
      <c r="X3" s="58" t="s">
        <v>64</v>
      </c>
      <c r="Y3" s="59" t="s">
        <v>71</v>
      </c>
      <c r="Z3" s="58" t="s">
        <v>64</v>
      </c>
      <c r="AA3" s="58" t="s">
        <v>72</v>
      </c>
      <c r="AB3" s="38"/>
      <c r="AC3" s="58" t="s">
        <v>73</v>
      </c>
    </row>
    <row r="4" spans="1:29" s="39" customFormat="1" ht="21" x14ac:dyDescent="0.2">
      <c r="A4" s="59"/>
      <c r="B4" s="37" t="s">
        <v>74</v>
      </c>
      <c r="C4" s="37" t="s">
        <v>6</v>
      </c>
      <c r="D4" s="37" t="s">
        <v>75</v>
      </c>
      <c r="E4" s="37" t="s">
        <v>76</v>
      </c>
      <c r="F4" s="59"/>
      <c r="G4" s="37" t="s">
        <v>5</v>
      </c>
      <c r="H4" s="59"/>
      <c r="I4" s="59"/>
      <c r="J4" s="59"/>
      <c r="K4" s="59"/>
      <c r="L4" s="58"/>
      <c r="M4" s="59"/>
      <c r="N4" s="58"/>
      <c r="O4" s="59"/>
      <c r="P4" s="58"/>
      <c r="Q4" s="59"/>
      <c r="R4" s="58"/>
      <c r="S4" s="59"/>
      <c r="T4" s="58"/>
      <c r="U4" s="59"/>
      <c r="V4" s="58"/>
      <c r="W4" s="59"/>
      <c r="X4" s="58"/>
      <c r="Y4" s="59"/>
      <c r="Z4" s="58"/>
      <c r="AA4" s="58"/>
      <c r="AB4" s="38"/>
      <c r="AC4" s="58"/>
    </row>
    <row r="5" spans="1:29" x14ac:dyDescent="0.2">
      <c r="A5" s="29">
        <v>46190</v>
      </c>
      <c r="B5" s="27">
        <v>4</v>
      </c>
      <c r="C5" s="27">
        <v>3</v>
      </c>
      <c r="D5" s="27">
        <v>6</v>
      </c>
      <c r="E5" s="27">
        <f>(B5*360)+(C5*30)+D5</f>
        <v>1536</v>
      </c>
      <c r="F5" s="27"/>
      <c r="G5" s="27">
        <v>4</v>
      </c>
      <c r="H5" s="27">
        <v>5</v>
      </c>
      <c r="I5" s="28">
        <v>1550</v>
      </c>
      <c r="J5" s="28">
        <f t="shared" ref="J5:J15" si="0">G5*I5</f>
        <v>6200</v>
      </c>
      <c r="K5" s="27"/>
      <c r="L5" s="28"/>
      <c r="M5" s="27"/>
      <c r="N5" s="28"/>
      <c r="O5" s="27"/>
      <c r="P5" s="28"/>
      <c r="Q5" s="27"/>
      <c r="R5" s="28"/>
      <c r="S5" s="27"/>
      <c r="T5" s="28"/>
      <c r="U5" s="27"/>
      <c r="V5" s="28"/>
      <c r="W5" s="27"/>
      <c r="X5" s="28"/>
      <c r="Y5" s="27"/>
      <c r="Z5" s="28"/>
      <c r="AA5" s="28"/>
      <c r="AB5" s="28">
        <f>J5+0</f>
        <v>6200</v>
      </c>
      <c r="AC5" s="28">
        <f>J5-AA5</f>
        <v>6200</v>
      </c>
    </row>
    <row r="6" spans="1:29" x14ac:dyDescent="0.2">
      <c r="A6" s="29">
        <v>46191</v>
      </c>
      <c r="B6" s="27">
        <v>5</v>
      </c>
      <c r="C6" s="27">
        <v>0</v>
      </c>
      <c r="D6" s="27">
        <v>16</v>
      </c>
      <c r="E6" s="27">
        <f>(B6*360)+(C6*30)+D6</f>
        <v>1816</v>
      </c>
      <c r="F6" s="27"/>
      <c r="G6" s="27">
        <v>5</v>
      </c>
      <c r="H6" s="27"/>
      <c r="I6" s="28">
        <v>1550</v>
      </c>
      <c r="J6" s="28">
        <f t="shared" si="0"/>
        <v>7750</v>
      </c>
      <c r="K6" s="27"/>
      <c r="L6" s="28"/>
      <c r="M6" s="27"/>
      <c r="N6" s="28"/>
      <c r="O6" s="27"/>
      <c r="P6" s="28"/>
      <c r="Q6" s="27"/>
      <c r="R6" s="28"/>
      <c r="S6" s="27"/>
      <c r="T6" s="28"/>
      <c r="U6" s="27"/>
      <c r="V6" s="28"/>
      <c r="W6" s="27"/>
      <c r="X6" s="28"/>
      <c r="Y6" s="27"/>
      <c r="Z6" s="28"/>
      <c r="AA6" s="28"/>
      <c r="AB6" s="28">
        <f>AB5+J6</f>
        <v>13950</v>
      </c>
      <c r="AC6" s="28">
        <f>J6-AA6</f>
        <v>7750</v>
      </c>
    </row>
    <row r="7" spans="1:29" x14ac:dyDescent="0.2">
      <c r="A7" s="29">
        <v>46192</v>
      </c>
      <c r="B7" s="27">
        <v>5</v>
      </c>
      <c r="C7" s="27">
        <v>4</v>
      </c>
      <c r="D7" s="27">
        <v>18</v>
      </c>
      <c r="E7" s="27">
        <f t="shared" ref="E7:E41" si="1">(B7*360)+(C7*30)+D7</f>
        <v>1938</v>
      </c>
      <c r="F7" s="27"/>
      <c r="G7" s="27">
        <v>9</v>
      </c>
      <c r="H7" s="27"/>
      <c r="I7" s="28">
        <v>1550</v>
      </c>
      <c r="J7" s="28">
        <f t="shared" si="0"/>
        <v>13950</v>
      </c>
      <c r="K7" s="27"/>
      <c r="L7" s="28"/>
      <c r="M7" s="27"/>
      <c r="N7" s="28"/>
      <c r="O7" s="27"/>
      <c r="P7" s="28"/>
      <c r="Q7" s="27"/>
      <c r="R7" s="28"/>
      <c r="S7" s="27"/>
      <c r="T7" s="28"/>
      <c r="U7" s="27"/>
      <c r="V7" s="28"/>
      <c r="W7" s="27"/>
      <c r="X7" s="28"/>
      <c r="Y7" s="27"/>
      <c r="Z7" s="28"/>
      <c r="AA7" s="28"/>
      <c r="AB7" s="28">
        <f>AB6+J7</f>
        <v>27900</v>
      </c>
      <c r="AC7" s="28">
        <f>J7-AA7</f>
        <v>13950</v>
      </c>
    </row>
    <row r="8" spans="1:29" ht="61.15" customHeight="1" x14ac:dyDescent="0.2">
      <c r="A8" s="29">
        <v>46193</v>
      </c>
      <c r="B8" s="27">
        <v>5</v>
      </c>
      <c r="C8" s="27">
        <v>3</v>
      </c>
      <c r="D8" s="27">
        <v>11</v>
      </c>
      <c r="E8" s="27">
        <f t="shared" si="1"/>
        <v>1901</v>
      </c>
      <c r="F8" s="27"/>
      <c r="G8" s="27">
        <v>5</v>
      </c>
      <c r="H8" s="27"/>
      <c r="I8" s="28">
        <v>1550</v>
      </c>
      <c r="J8" s="28">
        <f t="shared" si="0"/>
        <v>7750</v>
      </c>
      <c r="K8" s="27" t="s">
        <v>77</v>
      </c>
      <c r="L8" s="28">
        <v>280</v>
      </c>
      <c r="M8" s="27" t="s">
        <v>78</v>
      </c>
      <c r="N8" s="28">
        <v>1500</v>
      </c>
      <c r="O8" s="27" t="s">
        <v>79</v>
      </c>
      <c r="P8" s="28">
        <v>150</v>
      </c>
      <c r="Q8" s="27"/>
      <c r="R8" s="28"/>
      <c r="S8" s="27" t="s">
        <v>80</v>
      </c>
      <c r="T8" s="28">
        <v>350</v>
      </c>
      <c r="U8" s="27"/>
      <c r="V8" s="28"/>
      <c r="W8" s="27" t="s">
        <v>81</v>
      </c>
      <c r="X8" s="28">
        <v>21000</v>
      </c>
      <c r="Y8" s="27" t="s">
        <v>82</v>
      </c>
      <c r="Z8" s="28">
        <v>700</v>
      </c>
      <c r="AA8" s="28">
        <f>L8+N8+P8+T8+X8+Z8</f>
        <v>23980</v>
      </c>
      <c r="AB8" s="28">
        <f>AB7+J8</f>
        <v>35650</v>
      </c>
      <c r="AC8" s="28">
        <f>AB8-AA8</f>
        <v>11670</v>
      </c>
    </row>
    <row r="9" spans="1:29" x14ac:dyDescent="0.2">
      <c r="A9" s="29">
        <v>46194</v>
      </c>
      <c r="B9" s="27">
        <v>8</v>
      </c>
      <c r="C9" s="27">
        <v>8</v>
      </c>
      <c r="D9" s="27">
        <v>25</v>
      </c>
      <c r="E9" s="27">
        <f t="shared" si="1"/>
        <v>3145</v>
      </c>
      <c r="F9" s="27"/>
      <c r="G9" s="27">
        <v>2</v>
      </c>
      <c r="H9" s="27"/>
      <c r="I9" s="28">
        <v>1550</v>
      </c>
      <c r="J9" s="28">
        <f t="shared" si="0"/>
        <v>3100</v>
      </c>
      <c r="K9" s="27"/>
      <c r="L9" s="28"/>
      <c r="M9" s="27"/>
      <c r="N9" s="28"/>
      <c r="O9" s="27"/>
      <c r="P9" s="28"/>
      <c r="Q9" s="27"/>
      <c r="R9" s="28"/>
      <c r="S9" s="27"/>
      <c r="T9" s="28"/>
      <c r="U9" s="27"/>
      <c r="V9" s="28"/>
      <c r="W9" s="27"/>
      <c r="X9" s="28"/>
      <c r="Y9" s="27"/>
      <c r="Z9" s="28"/>
      <c r="AA9" s="28"/>
      <c r="AB9" s="28">
        <f>AC8+J9</f>
        <v>14770</v>
      </c>
      <c r="AC9" s="28"/>
    </row>
    <row r="10" spans="1:29" x14ac:dyDescent="0.2">
      <c r="A10" s="29">
        <v>46195</v>
      </c>
      <c r="B10" s="27">
        <v>5</v>
      </c>
      <c r="C10" s="27">
        <v>8</v>
      </c>
      <c r="D10" s="27">
        <v>29</v>
      </c>
      <c r="E10" s="27">
        <f t="shared" si="1"/>
        <v>2069</v>
      </c>
      <c r="F10" s="27"/>
      <c r="G10" s="27"/>
      <c r="H10" s="27"/>
      <c r="I10" s="28">
        <v>1550</v>
      </c>
      <c r="J10" s="28">
        <f t="shared" si="0"/>
        <v>0</v>
      </c>
      <c r="K10" s="27"/>
      <c r="L10" s="28"/>
      <c r="M10" s="27"/>
      <c r="N10" s="28"/>
      <c r="O10" s="27"/>
      <c r="P10" s="28"/>
      <c r="Q10" s="27"/>
      <c r="R10" s="28"/>
      <c r="S10" s="27"/>
      <c r="T10" s="28"/>
      <c r="U10" s="27"/>
      <c r="V10" s="28"/>
      <c r="W10" s="27"/>
      <c r="X10" s="28"/>
      <c r="Y10" s="27"/>
      <c r="Z10" s="28"/>
      <c r="AA10" s="28"/>
      <c r="AB10" s="28">
        <f>AB9+J10</f>
        <v>14770</v>
      </c>
      <c r="AC10" s="28"/>
    </row>
    <row r="11" spans="1:29" x14ac:dyDescent="0.2">
      <c r="A11" s="29">
        <v>46196</v>
      </c>
      <c r="B11" s="27">
        <v>6</v>
      </c>
      <c r="C11" s="27">
        <v>1</v>
      </c>
      <c r="D11" s="27">
        <v>29</v>
      </c>
      <c r="E11" s="27">
        <f t="shared" si="1"/>
        <v>2219</v>
      </c>
      <c r="F11" s="27"/>
      <c r="G11" s="27">
        <v>4</v>
      </c>
      <c r="H11" s="27"/>
      <c r="I11" s="28">
        <v>1550</v>
      </c>
      <c r="J11" s="28">
        <f t="shared" si="0"/>
        <v>6200</v>
      </c>
      <c r="K11" s="27"/>
      <c r="L11" s="28"/>
      <c r="M11" s="27"/>
      <c r="N11" s="28"/>
      <c r="O11" s="27"/>
      <c r="P11" s="28"/>
      <c r="Q11" s="27"/>
      <c r="R11" s="28"/>
      <c r="S11" s="27"/>
      <c r="T11" s="28"/>
      <c r="U11" s="27"/>
      <c r="V11" s="28"/>
      <c r="W11" s="27"/>
      <c r="X11" s="28"/>
      <c r="Y11" s="27"/>
      <c r="Z11" s="28"/>
      <c r="AA11" s="28"/>
      <c r="AB11" s="28">
        <f>AB10+J11</f>
        <v>20970</v>
      </c>
      <c r="AC11" s="28"/>
    </row>
    <row r="12" spans="1:29" x14ac:dyDescent="0.2">
      <c r="A12" s="29">
        <v>46197</v>
      </c>
      <c r="B12" s="27">
        <v>6</v>
      </c>
      <c r="C12" s="27">
        <v>0</v>
      </c>
      <c r="D12" s="27">
        <v>13</v>
      </c>
      <c r="E12" s="27">
        <f t="shared" si="1"/>
        <v>2173</v>
      </c>
      <c r="F12" s="27"/>
      <c r="G12" s="27"/>
      <c r="H12" s="27"/>
      <c r="I12" s="28">
        <v>1550</v>
      </c>
      <c r="J12" s="28">
        <f t="shared" si="0"/>
        <v>0</v>
      </c>
      <c r="K12" s="27"/>
      <c r="L12" s="28"/>
      <c r="M12" s="27"/>
      <c r="N12" s="28"/>
      <c r="O12" s="27"/>
      <c r="P12" s="28"/>
      <c r="Q12" s="27"/>
      <c r="R12" s="28"/>
      <c r="S12" s="27"/>
      <c r="T12" s="28"/>
      <c r="U12" s="27"/>
      <c r="V12" s="28"/>
      <c r="W12" s="27"/>
      <c r="X12" s="28"/>
      <c r="Y12" s="27"/>
      <c r="Z12" s="28"/>
      <c r="AA12" s="28"/>
      <c r="AB12" s="28">
        <f>AB11+J12</f>
        <v>20970</v>
      </c>
      <c r="AC12" s="28"/>
    </row>
    <row r="13" spans="1:29" s="41" customFormat="1" x14ac:dyDescent="0.2">
      <c r="A13" s="40">
        <v>46198</v>
      </c>
      <c r="B13" s="34">
        <v>6</v>
      </c>
      <c r="C13" s="34">
        <v>3</v>
      </c>
      <c r="D13" s="34">
        <v>19</v>
      </c>
      <c r="E13" s="34">
        <f t="shared" si="1"/>
        <v>2269</v>
      </c>
      <c r="F13" s="34"/>
      <c r="G13" s="34">
        <v>23</v>
      </c>
      <c r="H13" s="34"/>
      <c r="I13" s="35">
        <v>1550</v>
      </c>
      <c r="J13" s="35">
        <f t="shared" si="0"/>
        <v>35650</v>
      </c>
      <c r="K13" s="34"/>
      <c r="L13" s="35"/>
      <c r="M13" s="34"/>
      <c r="N13" s="35"/>
      <c r="O13" s="34"/>
      <c r="P13" s="35"/>
      <c r="Q13" s="34"/>
      <c r="R13" s="35"/>
      <c r="S13" s="34"/>
      <c r="T13" s="35"/>
      <c r="U13" s="34"/>
      <c r="V13" s="35"/>
      <c r="W13" s="34"/>
      <c r="X13" s="35"/>
      <c r="Y13" s="34"/>
      <c r="Z13" s="35"/>
      <c r="AA13" s="35"/>
      <c r="AB13" s="35">
        <f>AB12+J13</f>
        <v>56620</v>
      </c>
      <c r="AC13" s="35"/>
    </row>
    <row r="14" spans="1:29" x14ac:dyDescent="0.2">
      <c r="A14" s="40">
        <v>46199</v>
      </c>
      <c r="B14" s="34">
        <v>7</v>
      </c>
      <c r="C14" s="34">
        <v>3</v>
      </c>
      <c r="D14" s="34">
        <v>19</v>
      </c>
      <c r="E14" s="34">
        <f t="shared" si="1"/>
        <v>2629</v>
      </c>
      <c r="F14" s="34"/>
      <c r="G14" s="34">
        <v>25</v>
      </c>
      <c r="H14" s="34"/>
      <c r="I14" s="35">
        <v>1550</v>
      </c>
      <c r="J14" s="35">
        <f t="shared" si="0"/>
        <v>38750</v>
      </c>
      <c r="K14" s="34" t="s">
        <v>83</v>
      </c>
      <c r="L14" s="35">
        <v>11200</v>
      </c>
      <c r="M14" s="34"/>
      <c r="N14" s="35"/>
      <c r="O14" s="34" t="s">
        <v>84</v>
      </c>
      <c r="P14" s="35">
        <v>600</v>
      </c>
      <c r="Q14" s="34"/>
      <c r="R14" s="35"/>
      <c r="S14" s="34" t="s">
        <v>80</v>
      </c>
      <c r="T14" s="35">
        <v>300</v>
      </c>
      <c r="U14" s="34" t="s">
        <v>85</v>
      </c>
      <c r="V14" s="35">
        <v>560</v>
      </c>
      <c r="W14" s="34"/>
      <c r="X14" s="35"/>
      <c r="Y14" s="34" t="s">
        <v>86</v>
      </c>
      <c r="Z14" s="35">
        <v>50</v>
      </c>
      <c r="AA14" s="35">
        <f>L14+P14+T14+V14+Z14</f>
        <v>12710</v>
      </c>
      <c r="AB14" s="35">
        <f>AB13+J14</f>
        <v>95370</v>
      </c>
      <c r="AC14" s="35">
        <f>J14-AA14</f>
        <v>26040</v>
      </c>
    </row>
    <row r="15" spans="1:29" ht="109.9" customHeight="1" x14ac:dyDescent="0.2">
      <c r="A15" s="29">
        <v>46200</v>
      </c>
      <c r="B15" s="27">
        <v>6</v>
      </c>
      <c r="C15" s="27">
        <v>6</v>
      </c>
      <c r="D15" s="27">
        <v>22</v>
      </c>
      <c r="E15" s="27">
        <f t="shared" si="1"/>
        <v>2362</v>
      </c>
      <c r="F15" s="27"/>
      <c r="G15" s="27">
        <v>3</v>
      </c>
      <c r="H15" s="27"/>
      <c r="I15" s="28">
        <v>1550</v>
      </c>
      <c r="J15" s="28">
        <f t="shared" si="0"/>
        <v>4650</v>
      </c>
      <c r="K15" s="27"/>
      <c r="L15" s="28"/>
      <c r="M15" s="27"/>
      <c r="N15" s="28"/>
      <c r="O15" s="27" t="s">
        <v>87</v>
      </c>
      <c r="P15" s="28">
        <f>3500+6350+500+3500+400</f>
        <v>14250</v>
      </c>
      <c r="Q15" s="27"/>
      <c r="R15" s="28"/>
      <c r="S15" s="27"/>
      <c r="T15" s="28"/>
      <c r="U15" s="27"/>
      <c r="V15" s="28"/>
      <c r="W15" s="27"/>
      <c r="X15" s="28"/>
      <c r="Y15" s="27" t="s">
        <v>88</v>
      </c>
      <c r="Z15" s="28">
        <v>5500</v>
      </c>
      <c r="AA15" s="28">
        <f>P15+Z15</f>
        <v>19750</v>
      </c>
      <c r="AB15" s="28"/>
      <c r="AC15" s="28">
        <f>AC14-AA15+J15</f>
        <v>10940</v>
      </c>
    </row>
    <row r="16" spans="1:29" x14ac:dyDescent="0.2">
      <c r="A16" s="29">
        <v>46201</v>
      </c>
      <c r="B16" s="27">
        <v>6</v>
      </c>
      <c r="C16" s="27">
        <v>9</v>
      </c>
      <c r="D16" s="27">
        <v>11</v>
      </c>
      <c r="E16" s="27">
        <f t="shared" si="1"/>
        <v>2441</v>
      </c>
      <c r="F16" s="27"/>
      <c r="G16" s="27"/>
      <c r="H16" s="27"/>
      <c r="I16" s="28">
        <v>1550</v>
      </c>
      <c r="J16" s="27"/>
      <c r="K16" s="27"/>
      <c r="L16" s="28"/>
      <c r="M16" s="27"/>
      <c r="N16" s="28"/>
      <c r="O16" s="27"/>
      <c r="P16" s="28"/>
      <c r="Q16" s="27"/>
      <c r="R16" s="28"/>
      <c r="S16" s="27"/>
      <c r="T16" s="28"/>
      <c r="U16" s="27"/>
      <c r="V16" s="28"/>
      <c r="W16" s="27"/>
      <c r="X16" s="28"/>
      <c r="Y16" s="27"/>
      <c r="Z16" s="28"/>
      <c r="AA16" s="28"/>
      <c r="AB16" s="28"/>
      <c r="AC16" s="28"/>
    </row>
    <row r="17" spans="1:31" x14ac:dyDescent="0.2">
      <c r="A17" s="29">
        <v>46202</v>
      </c>
      <c r="B17" s="27">
        <v>7</v>
      </c>
      <c r="C17" s="27">
        <v>0</v>
      </c>
      <c r="D17" s="27">
        <v>27</v>
      </c>
      <c r="E17" s="27">
        <f t="shared" si="1"/>
        <v>2547</v>
      </c>
      <c r="F17" s="27"/>
      <c r="G17" s="27">
        <v>19</v>
      </c>
      <c r="H17" s="27"/>
      <c r="I17" s="28">
        <v>1550</v>
      </c>
      <c r="J17" s="28">
        <f>G17*I17</f>
        <v>29450</v>
      </c>
      <c r="K17" s="27" t="s">
        <v>36</v>
      </c>
      <c r="L17" s="28">
        <v>270</v>
      </c>
      <c r="M17" s="27"/>
      <c r="N17" s="28"/>
      <c r="O17" s="27" t="s">
        <v>84</v>
      </c>
      <c r="P17" s="28">
        <v>750</v>
      </c>
      <c r="Q17" s="27"/>
      <c r="R17" s="28"/>
      <c r="S17" s="27"/>
      <c r="T17" s="28"/>
      <c r="U17" s="27"/>
      <c r="V17" s="28"/>
      <c r="W17" s="27"/>
      <c r="X17" s="28"/>
      <c r="Y17" s="27" t="s">
        <v>89</v>
      </c>
      <c r="Z17" s="28">
        <v>5000</v>
      </c>
      <c r="AA17" s="28">
        <f>L17+P17+Z17</f>
        <v>6020</v>
      </c>
      <c r="AB17" s="28"/>
      <c r="AC17" s="28">
        <f>AC15+J17-AA17</f>
        <v>34370</v>
      </c>
    </row>
    <row r="18" spans="1:31" ht="43.9" customHeight="1" x14ac:dyDescent="0.2">
      <c r="A18" s="29">
        <v>46203</v>
      </c>
      <c r="B18" s="27">
        <v>7</v>
      </c>
      <c r="C18" s="27">
        <v>1</v>
      </c>
      <c r="D18" s="27">
        <v>8</v>
      </c>
      <c r="E18" s="27">
        <f t="shared" si="1"/>
        <v>2558</v>
      </c>
      <c r="F18" s="27"/>
      <c r="G18" s="27">
        <v>7</v>
      </c>
      <c r="H18" s="27"/>
      <c r="I18" s="28">
        <v>1550</v>
      </c>
      <c r="J18" s="28">
        <f>G18*I18</f>
        <v>10850</v>
      </c>
      <c r="K18" s="27" t="s">
        <v>90</v>
      </c>
      <c r="L18" s="28">
        <v>27000</v>
      </c>
      <c r="M18" s="27"/>
      <c r="N18" s="28"/>
      <c r="O18" s="27"/>
      <c r="P18" s="28"/>
      <c r="Q18" s="27"/>
      <c r="R18" s="28"/>
      <c r="S18" s="27" t="s">
        <v>91</v>
      </c>
      <c r="T18" s="28">
        <v>1050</v>
      </c>
      <c r="U18" s="27"/>
      <c r="V18" s="28"/>
      <c r="W18" s="27"/>
      <c r="X18" s="28"/>
      <c r="Y18" s="27" t="s">
        <v>92</v>
      </c>
      <c r="Z18" s="28">
        <v>5300</v>
      </c>
      <c r="AA18" s="28">
        <f>L18+T18+Z18</f>
        <v>33350</v>
      </c>
      <c r="AB18" s="28"/>
      <c r="AC18" s="28">
        <f>AC17-AA18+J18</f>
        <v>11870</v>
      </c>
    </row>
    <row r="19" spans="1:31" x14ac:dyDescent="0.2">
      <c r="A19" s="30"/>
      <c r="B19" s="31"/>
      <c r="C19" s="31"/>
      <c r="D19" s="31"/>
      <c r="E19" s="31"/>
      <c r="F19" s="31"/>
      <c r="G19" s="31"/>
      <c r="H19" s="31"/>
      <c r="I19" s="32"/>
      <c r="J19" s="33">
        <f t="shared" ref="J19:J22" si="2">F19*I19</f>
        <v>0</v>
      </c>
      <c r="K19" s="31"/>
      <c r="L19" s="32"/>
      <c r="M19" s="31"/>
      <c r="N19" s="32"/>
      <c r="O19" s="31"/>
      <c r="P19" s="32"/>
      <c r="Q19" s="31"/>
      <c r="R19" s="32"/>
      <c r="S19" s="31"/>
      <c r="T19" s="32"/>
      <c r="U19" s="31"/>
      <c r="V19" s="32"/>
      <c r="W19" s="31"/>
      <c r="X19" s="32"/>
      <c r="Y19" s="31"/>
      <c r="Z19" s="32"/>
      <c r="AA19" s="32"/>
      <c r="AB19" s="32"/>
      <c r="AC19" s="32"/>
    </row>
    <row r="20" spans="1:31" ht="60" customHeight="1" x14ac:dyDescent="0.2">
      <c r="A20" s="29">
        <v>46204</v>
      </c>
      <c r="B20" s="27">
        <v>7</v>
      </c>
      <c r="C20" s="27">
        <v>4</v>
      </c>
      <c r="D20" s="27">
        <v>0</v>
      </c>
      <c r="E20" s="27">
        <f t="shared" si="1"/>
        <v>2640</v>
      </c>
      <c r="F20" s="27"/>
      <c r="G20" s="27"/>
      <c r="H20" s="27"/>
      <c r="I20" s="28">
        <v>1550</v>
      </c>
      <c r="J20" s="28">
        <f t="shared" si="2"/>
        <v>0</v>
      </c>
      <c r="K20" s="27" t="s">
        <v>93</v>
      </c>
      <c r="L20" s="28">
        <f>1400*8</f>
        <v>11200</v>
      </c>
      <c r="M20" s="27"/>
      <c r="N20" s="28"/>
      <c r="O20" s="27"/>
      <c r="P20" s="28"/>
      <c r="Q20" s="27" t="s">
        <v>94</v>
      </c>
      <c r="R20" s="28">
        <f>200*2</f>
        <v>400</v>
      </c>
      <c r="S20" s="27"/>
      <c r="T20" s="28"/>
      <c r="U20" s="27" t="s">
        <v>95</v>
      </c>
      <c r="V20" s="28">
        <f>300*13+500</f>
        <v>4400</v>
      </c>
      <c r="W20" s="27"/>
      <c r="X20" s="28"/>
      <c r="Y20" s="34" t="s">
        <v>88</v>
      </c>
      <c r="Z20" s="35">
        <v>5000</v>
      </c>
      <c r="AA20" s="28">
        <f>L20+R20+V20</f>
        <v>16000</v>
      </c>
      <c r="AB20" s="28">
        <f>AC18+J20</f>
        <v>11870</v>
      </c>
      <c r="AC20" s="28">
        <f>AC18+Z20-AA20</f>
        <v>870</v>
      </c>
    </row>
    <row r="21" spans="1:31" ht="29.45" customHeight="1" x14ac:dyDescent="0.2">
      <c r="A21" s="29">
        <v>46205</v>
      </c>
      <c r="B21" s="27">
        <v>7</v>
      </c>
      <c r="C21" s="27">
        <v>4</v>
      </c>
      <c r="D21" s="27">
        <v>9</v>
      </c>
      <c r="E21" s="27">
        <f t="shared" si="1"/>
        <v>2649</v>
      </c>
      <c r="F21" s="27"/>
      <c r="G21" s="27">
        <v>15</v>
      </c>
      <c r="H21" s="27" t="s">
        <v>96</v>
      </c>
      <c r="I21" s="28">
        <v>1550</v>
      </c>
      <c r="J21" s="28">
        <f>G21*I21</f>
        <v>23250</v>
      </c>
      <c r="K21" s="27"/>
      <c r="L21" s="28"/>
      <c r="M21" s="27"/>
      <c r="N21" s="28"/>
      <c r="O21" s="27"/>
      <c r="P21" s="28"/>
      <c r="Q21" s="27"/>
      <c r="R21" s="28"/>
      <c r="S21" s="27"/>
      <c r="T21" s="28"/>
      <c r="U21" s="27"/>
      <c r="V21" s="28"/>
      <c r="W21" s="27"/>
      <c r="X21" s="28"/>
      <c r="Y21" s="27"/>
      <c r="Z21" s="28"/>
      <c r="AA21" s="28"/>
      <c r="AB21" s="28">
        <f t="shared" ref="AB21:AB41" si="3">AC20+J21</f>
        <v>24120</v>
      </c>
      <c r="AC21" s="28">
        <f>AC20+J21</f>
        <v>24120</v>
      </c>
    </row>
    <row r="22" spans="1:31" ht="40.15" customHeight="1" x14ac:dyDescent="0.2">
      <c r="A22" s="29">
        <v>46206</v>
      </c>
      <c r="B22" s="27">
        <v>7</v>
      </c>
      <c r="C22" s="27">
        <v>6</v>
      </c>
      <c r="D22" s="27">
        <v>6</v>
      </c>
      <c r="E22" s="27">
        <f t="shared" si="1"/>
        <v>2706</v>
      </c>
      <c r="F22" s="27"/>
      <c r="G22" s="27"/>
      <c r="H22" s="27"/>
      <c r="I22" s="28">
        <v>1550</v>
      </c>
      <c r="J22" s="28">
        <f t="shared" si="2"/>
        <v>0</v>
      </c>
      <c r="K22" s="27" t="s">
        <v>90</v>
      </c>
      <c r="L22" s="28">
        <v>15000</v>
      </c>
      <c r="M22" s="27"/>
      <c r="N22" s="28"/>
      <c r="O22" s="27"/>
      <c r="P22" s="28"/>
      <c r="Q22" s="27"/>
      <c r="R22" s="28"/>
      <c r="S22" s="27" t="s">
        <v>97</v>
      </c>
      <c r="T22" s="28">
        <f>350*4</f>
        <v>1400</v>
      </c>
      <c r="U22" s="27" t="s">
        <v>98</v>
      </c>
      <c r="V22" s="28">
        <f>300*8</f>
        <v>2400</v>
      </c>
      <c r="W22" s="27"/>
      <c r="X22" s="28"/>
      <c r="Y22" s="27" t="s">
        <v>89</v>
      </c>
      <c r="Z22" s="28">
        <v>5000</v>
      </c>
      <c r="AA22" s="28">
        <f>L22+T22+V22+Z22</f>
        <v>23800</v>
      </c>
      <c r="AB22" s="28">
        <f t="shared" si="3"/>
        <v>24120</v>
      </c>
      <c r="AC22" s="28">
        <f>AB22-AA22</f>
        <v>320</v>
      </c>
    </row>
    <row r="23" spans="1:31" ht="32.450000000000003" customHeight="1" x14ac:dyDescent="0.2">
      <c r="A23" s="29">
        <v>46207</v>
      </c>
      <c r="B23" s="27">
        <v>7</v>
      </c>
      <c r="C23" s="27">
        <v>11</v>
      </c>
      <c r="D23" s="27">
        <v>21</v>
      </c>
      <c r="E23" s="27">
        <f t="shared" si="1"/>
        <v>2871</v>
      </c>
      <c r="F23" s="27"/>
      <c r="G23" s="27" t="s">
        <v>99</v>
      </c>
      <c r="H23" s="27"/>
      <c r="I23" s="28">
        <v>1550</v>
      </c>
      <c r="J23" s="28">
        <f>(15*1550)+775</f>
        <v>24025</v>
      </c>
      <c r="K23" s="27" t="s">
        <v>93</v>
      </c>
      <c r="L23" s="28">
        <f>1400*8</f>
        <v>11200</v>
      </c>
      <c r="M23" s="27"/>
      <c r="N23" s="28"/>
      <c r="O23" s="27"/>
      <c r="P23" s="28"/>
      <c r="Q23" s="27"/>
      <c r="R23" s="28"/>
      <c r="S23" s="27"/>
      <c r="T23" s="28"/>
      <c r="U23" s="27"/>
      <c r="V23" s="28"/>
      <c r="W23" s="27"/>
      <c r="X23" s="28"/>
      <c r="Y23" s="27" t="s">
        <v>100</v>
      </c>
      <c r="Z23" s="28">
        <v>2000</v>
      </c>
      <c r="AA23" s="28">
        <f>L23+Z23</f>
        <v>13200</v>
      </c>
      <c r="AB23" s="28">
        <f t="shared" si="3"/>
        <v>24345</v>
      </c>
      <c r="AC23" s="28">
        <f>AB23-AA23</f>
        <v>11145</v>
      </c>
    </row>
    <row r="24" spans="1:31" ht="50.45" customHeight="1" x14ac:dyDescent="0.2">
      <c r="A24" s="42">
        <v>46208</v>
      </c>
      <c r="B24" s="43">
        <v>7</v>
      </c>
      <c r="C24" s="43">
        <v>2</v>
      </c>
      <c r="D24" s="43">
        <v>23</v>
      </c>
      <c r="E24" s="43">
        <f t="shared" si="1"/>
        <v>2603</v>
      </c>
      <c r="F24" s="43"/>
      <c r="G24" s="43"/>
      <c r="H24" s="43"/>
      <c r="I24" s="44">
        <v>1550</v>
      </c>
      <c r="J24" s="44">
        <v>0</v>
      </c>
      <c r="K24" s="43"/>
      <c r="L24" s="44"/>
      <c r="M24" s="43"/>
      <c r="N24" s="44"/>
      <c r="O24" s="43"/>
      <c r="P24" s="44"/>
      <c r="Q24" s="43"/>
      <c r="R24" s="44"/>
      <c r="S24" s="43"/>
      <c r="T24" s="44"/>
      <c r="U24" s="43" t="s">
        <v>101</v>
      </c>
      <c r="V24" s="44">
        <v>155</v>
      </c>
      <c r="W24" s="43"/>
      <c r="X24" s="44"/>
      <c r="Y24" s="43" t="s">
        <v>102</v>
      </c>
      <c r="Z24" s="44">
        <f>3000+600</f>
        <v>3600</v>
      </c>
      <c r="AA24" s="44">
        <f>V24+Z24</f>
        <v>3755</v>
      </c>
      <c r="AB24" s="44">
        <f t="shared" si="3"/>
        <v>11145</v>
      </c>
      <c r="AC24" s="44">
        <v>7020</v>
      </c>
    </row>
    <row r="25" spans="1:31" ht="28.9" customHeight="1" x14ac:dyDescent="0.2">
      <c r="A25" s="29">
        <v>46209</v>
      </c>
      <c r="B25" s="27">
        <v>8</v>
      </c>
      <c r="C25" s="27">
        <v>4</v>
      </c>
      <c r="D25" s="27">
        <v>5</v>
      </c>
      <c r="E25" s="27">
        <f t="shared" si="1"/>
        <v>3005</v>
      </c>
      <c r="F25" s="27"/>
      <c r="G25" s="27">
        <v>15</v>
      </c>
      <c r="H25" s="27"/>
      <c r="I25" s="28">
        <v>1550</v>
      </c>
      <c r="J25" s="28">
        <f>G25*I25</f>
        <v>23250</v>
      </c>
      <c r="K25" s="27"/>
      <c r="L25" s="28"/>
      <c r="M25" s="27"/>
      <c r="N25" s="28"/>
      <c r="O25" s="27"/>
      <c r="P25" s="28"/>
      <c r="Q25" s="27"/>
      <c r="R25" s="28"/>
      <c r="S25" s="27"/>
      <c r="T25" s="28"/>
      <c r="U25" s="27"/>
      <c r="V25" s="28"/>
      <c r="W25" s="27"/>
      <c r="X25" s="28"/>
      <c r="Y25" s="27" t="s">
        <v>51</v>
      </c>
      <c r="Z25" s="28">
        <v>840</v>
      </c>
      <c r="AA25" s="28">
        <v>840</v>
      </c>
      <c r="AB25" s="28">
        <f t="shared" si="3"/>
        <v>30270</v>
      </c>
      <c r="AC25" s="28">
        <f>AB25-AA25</f>
        <v>29430</v>
      </c>
    </row>
    <row r="26" spans="1:31" ht="48" customHeight="1" x14ac:dyDescent="0.2">
      <c r="A26" s="29">
        <v>46210</v>
      </c>
      <c r="B26" s="27">
        <v>8</v>
      </c>
      <c r="C26" s="27">
        <v>2</v>
      </c>
      <c r="D26" s="27">
        <v>4</v>
      </c>
      <c r="E26" s="27">
        <f t="shared" si="1"/>
        <v>2944</v>
      </c>
      <c r="F26" s="27"/>
      <c r="G26" s="27">
        <v>0</v>
      </c>
      <c r="H26" s="27"/>
      <c r="I26" s="28">
        <v>1550</v>
      </c>
      <c r="J26" s="28">
        <f>G26*I26</f>
        <v>0</v>
      </c>
      <c r="K26" s="27"/>
      <c r="L26" s="28"/>
      <c r="M26" s="27"/>
      <c r="N26" s="28"/>
      <c r="O26" s="27" t="s">
        <v>84</v>
      </c>
      <c r="P26" s="28">
        <v>500</v>
      </c>
      <c r="Q26" s="27"/>
      <c r="R26" s="28"/>
      <c r="S26" s="27" t="s">
        <v>103</v>
      </c>
      <c r="T26" s="28">
        <f>350*3</f>
        <v>1050</v>
      </c>
      <c r="U26" s="27" t="s">
        <v>104</v>
      </c>
      <c r="V26" s="28">
        <v>25</v>
      </c>
      <c r="W26" s="27"/>
      <c r="X26" s="28"/>
      <c r="Y26" s="27" t="s">
        <v>105</v>
      </c>
      <c r="Z26" s="28">
        <v>7000</v>
      </c>
      <c r="AA26" s="28">
        <f>P26+T26+V26+Z26</f>
        <v>8575</v>
      </c>
      <c r="AB26" s="28">
        <f t="shared" si="3"/>
        <v>29430</v>
      </c>
      <c r="AC26" s="28">
        <f>AB26-AA26</f>
        <v>20855</v>
      </c>
    </row>
    <row r="27" spans="1:31" ht="35.450000000000003" customHeight="1" x14ac:dyDescent="0.2">
      <c r="A27" s="29">
        <v>46211</v>
      </c>
      <c r="B27" s="27">
        <v>8</v>
      </c>
      <c r="C27" s="27">
        <v>3</v>
      </c>
      <c r="D27" s="27">
        <v>19</v>
      </c>
      <c r="E27" s="27">
        <f t="shared" si="1"/>
        <v>2989</v>
      </c>
      <c r="F27" s="27"/>
      <c r="G27" s="27">
        <v>16</v>
      </c>
      <c r="H27" s="27"/>
      <c r="I27" s="28">
        <v>1550</v>
      </c>
      <c r="J27" s="28">
        <f>G27*I27</f>
        <v>24800</v>
      </c>
      <c r="K27" s="27" t="s">
        <v>36</v>
      </c>
      <c r="L27" s="28">
        <v>200</v>
      </c>
      <c r="M27" s="27"/>
      <c r="N27" s="28"/>
      <c r="O27" s="27" t="s">
        <v>106</v>
      </c>
      <c r="P27" s="28">
        <v>450</v>
      </c>
      <c r="Q27" s="27"/>
      <c r="R27" s="28"/>
      <c r="S27" s="27"/>
      <c r="T27" s="28"/>
      <c r="U27" s="27"/>
      <c r="V27" s="28"/>
      <c r="W27" s="27"/>
      <c r="X27" s="28"/>
      <c r="Y27" s="27"/>
      <c r="Z27" s="28"/>
      <c r="AA27" s="28">
        <f>P27+L27</f>
        <v>650</v>
      </c>
      <c r="AB27" s="28">
        <f t="shared" si="3"/>
        <v>45655</v>
      </c>
      <c r="AC27" s="28">
        <f>AB27-AA27</f>
        <v>45005</v>
      </c>
    </row>
    <row r="28" spans="1:31" ht="78" customHeight="1" x14ac:dyDescent="0.2">
      <c r="A28" s="29">
        <v>46212</v>
      </c>
      <c r="B28" s="27">
        <v>8</v>
      </c>
      <c r="C28" s="27">
        <v>4</v>
      </c>
      <c r="D28" s="27">
        <v>11</v>
      </c>
      <c r="E28" s="27">
        <f t="shared" si="1"/>
        <v>3011</v>
      </c>
      <c r="F28" s="27"/>
      <c r="G28" s="27">
        <v>9</v>
      </c>
      <c r="H28" s="27"/>
      <c r="I28" s="28">
        <v>1550</v>
      </c>
      <c r="J28" s="28">
        <f>G28*I28</f>
        <v>13950</v>
      </c>
      <c r="K28" s="27" t="s">
        <v>107</v>
      </c>
      <c r="L28" s="28">
        <f>40000+1400*8</f>
        <v>51200</v>
      </c>
      <c r="M28" s="27" t="s">
        <v>108</v>
      </c>
      <c r="N28" s="28">
        <v>1650</v>
      </c>
      <c r="O28" s="27"/>
      <c r="P28" s="28"/>
      <c r="Q28" s="27"/>
      <c r="R28" s="28"/>
      <c r="S28" s="27" t="s">
        <v>109</v>
      </c>
      <c r="T28" s="28">
        <v>300</v>
      </c>
      <c r="U28" s="27"/>
      <c r="V28" s="28"/>
      <c r="W28" s="27"/>
      <c r="X28" s="28"/>
      <c r="Y28" s="27" t="s">
        <v>88</v>
      </c>
      <c r="Z28" s="28">
        <v>2500</v>
      </c>
      <c r="AA28" s="28">
        <f>Z28+T28+N28+L28</f>
        <v>55650</v>
      </c>
      <c r="AB28" s="28">
        <f t="shared" si="3"/>
        <v>58955</v>
      </c>
      <c r="AC28" s="28">
        <f>AB28-AA28</f>
        <v>3305</v>
      </c>
    </row>
    <row r="29" spans="1:31" ht="85.15" customHeight="1" x14ac:dyDescent="0.2">
      <c r="A29" s="29">
        <v>46213</v>
      </c>
      <c r="B29" s="27">
        <v>8</v>
      </c>
      <c r="C29" s="27">
        <v>6</v>
      </c>
      <c r="D29" s="27">
        <v>7</v>
      </c>
      <c r="E29" s="27">
        <f t="shared" si="1"/>
        <v>3067</v>
      </c>
      <c r="F29" s="27"/>
      <c r="G29" s="27">
        <v>0</v>
      </c>
      <c r="H29" s="27"/>
      <c r="I29" s="28">
        <v>1550</v>
      </c>
      <c r="J29" s="28">
        <v>0</v>
      </c>
      <c r="K29" s="27"/>
      <c r="L29" s="28"/>
      <c r="M29" s="27"/>
      <c r="N29" s="28"/>
      <c r="O29" s="27"/>
      <c r="P29" s="28"/>
      <c r="Q29" s="27" t="s">
        <v>110</v>
      </c>
      <c r="R29" s="28">
        <f>200*2</f>
        <v>400</v>
      </c>
      <c r="S29" s="27"/>
      <c r="T29" s="28"/>
      <c r="U29" s="27" t="s">
        <v>111</v>
      </c>
      <c r="V29" s="28">
        <v>120</v>
      </c>
      <c r="W29" s="27"/>
      <c r="X29" s="28"/>
      <c r="Y29" s="27" t="s">
        <v>112</v>
      </c>
      <c r="Z29" s="28">
        <f>1750+100</f>
        <v>1850</v>
      </c>
      <c r="AA29" s="35">
        <f>Z29+V29</f>
        <v>1970</v>
      </c>
      <c r="AB29" s="35">
        <f t="shared" si="3"/>
        <v>3305</v>
      </c>
      <c r="AC29" s="35">
        <f>AB29-AA29</f>
        <v>1335</v>
      </c>
    </row>
    <row r="30" spans="1:31" ht="39.6" customHeight="1" x14ac:dyDescent="0.2">
      <c r="A30" s="29">
        <v>46214</v>
      </c>
      <c r="B30" s="27">
        <v>8</v>
      </c>
      <c r="C30" s="27">
        <v>7</v>
      </c>
      <c r="D30" s="27">
        <v>13</v>
      </c>
      <c r="E30" s="27">
        <f t="shared" si="1"/>
        <v>3103</v>
      </c>
      <c r="F30" s="27"/>
      <c r="G30" s="27">
        <v>12</v>
      </c>
      <c r="H30" s="27"/>
      <c r="I30" s="28">
        <v>1550</v>
      </c>
      <c r="J30" s="28">
        <f>G30*I30</f>
        <v>18600</v>
      </c>
      <c r="K30" s="27"/>
      <c r="L30" s="28"/>
      <c r="M30" s="27"/>
      <c r="N30" s="28"/>
      <c r="O30" s="27"/>
      <c r="P30" s="28"/>
      <c r="Q30" s="27"/>
      <c r="R30" s="28"/>
      <c r="S30" s="27" t="s">
        <v>113</v>
      </c>
      <c r="T30" s="28">
        <f>300*3</f>
        <v>900</v>
      </c>
      <c r="U30" s="27"/>
      <c r="V30" s="27"/>
      <c r="W30" s="27"/>
      <c r="X30" s="28"/>
      <c r="Y30" s="27" t="s">
        <v>51</v>
      </c>
      <c r="Z30" s="28">
        <v>1000</v>
      </c>
      <c r="AA30" s="28">
        <f>Z30+T30</f>
        <v>1900</v>
      </c>
      <c r="AB30" s="28">
        <f t="shared" si="3"/>
        <v>19935</v>
      </c>
      <c r="AC30" s="35">
        <f t="shared" ref="AC30:AC41" si="4">AB30-AA30</f>
        <v>18035</v>
      </c>
      <c r="AE30" s="22"/>
    </row>
    <row r="31" spans="1:31" ht="54.6" customHeight="1" x14ac:dyDescent="0.2">
      <c r="A31" s="29">
        <v>46215</v>
      </c>
      <c r="B31" s="27">
        <v>8</v>
      </c>
      <c r="C31" s="27">
        <v>8</v>
      </c>
      <c r="D31" s="27">
        <v>9</v>
      </c>
      <c r="E31" s="27">
        <f t="shared" si="1"/>
        <v>3129</v>
      </c>
      <c r="F31" s="27"/>
      <c r="G31" s="27">
        <v>0</v>
      </c>
      <c r="H31" s="27"/>
      <c r="I31" s="28">
        <v>1550</v>
      </c>
      <c r="J31" s="28">
        <f>I31*G31</f>
        <v>0</v>
      </c>
      <c r="K31" s="27"/>
      <c r="L31" s="28"/>
      <c r="M31" s="27"/>
      <c r="N31" s="28"/>
      <c r="O31" s="27"/>
      <c r="P31" s="28"/>
      <c r="Q31" s="27"/>
      <c r="R31" s="28"/>
      <c r="S31" s="27"/>
      <c r="T31" s="28"/>
      <c r="U31" s="27"/>
      <c r="V31" s="28"/>
      <c r="W31" s="27"/>
      <c r="X31" s="28"/>
      <c r="Y31" s="27" t="s">
        <v>114</v>
      </c>
      <c r="Z31" s="28">
        <f>1300+1000</f>
        <v>2300</v>
      </c>
      <c r="AA31" s="28">
        <v>2300</v>
      </c>
      <c r="AB31" s="28">
        <f t="shared" si="3"/>
        <v>18035</v>
      </c>
      <c r="AC31" s="35">
        <f t="shared" si="4"/>
        <v>15735</v>
      </c>
    </row>
    <row r="32" spans="1:31" ht="36.6" customHeight="1" x14ac:dyDescent="0.2">
      <c r="A32" s="29">
        <v>46216</v>
      </c>
      <c r="B32" s="27">
        <v>8</v>
      </c>
      <c r="C32" s="27">
        <v>0</v>
      </c>
      <c r="D32" s="27">
        <v>17</v>
      </c>
      <c r="E32" s="27">
        <f t="shared" si="1"/>
        <v>2897</v>
      </c>
      <c r="F32" s="27"/>
      <c r="G32" s="27">
        <v>0</v>
      </c>
      <c r="H32" s="27"/>
      <c r="I32" s="28">
        <v>1550</v>
      </c>
      <c r="J32" s="28">
        <f>I32*G32</f>
        <v>0</v>
      </c>
      <c r="K32" s="27"/>
      <c r="L32" s="28"/>
      <c r="M32" s="27"/>
      <c r="N32" s="28"/>
      <c r="O32" s="27"/>
      <c r="P32" s="28"/>
      <c r="Q32" s="27"/>
      <c r="R32" s="28"/>
      <c r="S32" s="27" t="s">
        <v>103</v>
      </c>
      <c r="T32" s="28">
        <f>350*3</f>
        <v>1050</v>
      </c>
      <c r="U32" s="27"/>
      <c r="V32" s="28"/>
      <c r="W32" s="27"/>
      <c r="X32" s="28"/>
      <c r="Y32" s="27" t="s">
        <v>51</v>
      </c>
      <c r="Z32" s="28">
        <v>1000</v>
      </c>
      <c r="AA32" s="28">
        <f>T32+Z32</f>
        <v>2050</v>
      </c>
      <c r="AB32" s="28">
        <f t="shared" si="3"/>
        <v>15735</v>
      </c>
      <c r="AC32" s="35">
        <f t="shared" si="4"/>
        <v>13685</v>
      </c>
    </row>
    <row r="33" spans="1:29" ht="39.6" customHeight="1" x14ac:dyDescent="0.2">
      <c r="A33" s="29">
        <v>46217</v>
      </c>
      <c r="B33" s="27">
        <v>8</v>
      </c>
      <c r="C33" s="27">
        <v>7</v>
      </c>
      <c r="D33" s="27">
        <v>9</v>
      </c>
      <c r="E33" s="27">
        <f t="shared" si="1"/>
        <v>3099</v>
      </c>
      <c r="F33" s="27"/>
      <c r="G33" s="27">
        <v>7</v>
      </c>
      <c r="H33" s="27"/>
      <c r="I33" s="28">
        <v>1550</v>
      </c>
      <c r="J33" s="28">
        <f>I33*G33</f>
        <v>10850</v>
      </c>
      <c r="K33" s="27" t="s">
        <v>77</v>
      </c>
      <c r="L33" s="28">
        <v>300</v>
      </c>
      <c r="M33" s="27"/>
      <c r="N33" s="28"/>
      <c r="O33" s="27"/>
      <c r="P33" s="28"/>
      <c r="Q33" s="27"/>
      <c r="R33" s="28"/>
      <c r="S33" s="27"/>
      <c r="T33" s="28"/>
      <c r="U33" s="27"/>
      <c r="V33" s="28"/>
      <c r="W33" s="27"/>
      <c r="X33" s="28"/>
      <c r="Y33" s="27" t="s">
        <v>115</v>
      </c>
      <c r="Z33" s="28">
        <v>1500</v>
      </c>
      <c r="AA33" s="28">
        <f>Z33+L33</f>
        <v>1800</v>
      </c>
      <c r="AB33" s="28">
        <f t="shared" si="3"/>
        <v>24535</v>
      </c>
      <c r="AC33" s="35">
        <f t="shared" si="4"/>
        <v>22735</v>
      </c>
    </row>
    <row r="34" spans="1:29" ht="79.150000000000006" customHeight="1" x14ac:dyDescent="0.2">
      <c r="A34" s="29">
        <v>46218</v>
      </c>
      <c r="B34" s="27">
        <v>8</v>
      </c>
      <c r="C34" s="27">
        <v>3</v>
      </c>
      <c r="D34" s="27">
        <v>12</v>
      </c>
      <c r="E34" s="27">
        <f t="shared" si="1"/>
        <v>2982</v>
      </c>
      <c r="F34" s="27"/>
      <c r="G34" s="27">
        <v>0</v>
      </c>
      <c r="H34" s="27"/>
      <c r="I34" s="28">
        <v>1550</v>
      </c>
      <c r="J34" s="28">
        <f>I34*G34</f>
        <v>0</v>
      </c>
      <c r="K34" s="27" t="s">
        <v>30</v>
      </c>
      <c r="L34" s="28">
        <v>11200</v>
      </c>
      <c r="M34" s="27"/>
      <c r="N34" s="28"/>
      <c r="O34" s="27" t="s">
        <v>84</v>
      </c>
      <c r="P34" s="28">
        <v>700</v>
      </c>
      <c r="Q34" s="27"/>
      <c r="R34" s="28"/>
      <c r="S34" s="27"/>
      <c r="T34" s="28"/>
      <c r="U34" s="27" t="s">
        <v>116</v>
      </c>
      <c r="V34" s="28">
        <v>140</v>
      </c>
      <c r="W34" s="27"/>
      <c r="X34" s="28"/>
      <c r="Y34" s="27" t="s">
        <v>117</v>
      </c>
      <c r="Z34" s="28">
        <v>3000</v>
      </c>
      <c r="AA34" s="28">
        <f>Z34+V34+P34+L34</f>
        <v>15040</v>
      </c>
      <c r="AB34" s="28">
        <f t="shared" si="3"/>
        <v>22735</v>
      </c>
      <c r="AC34" s="35">
        <f t="shared" si="4"/>
        <v>7695</v>
      </c>
    </row>
    <row r="35" spans="1:29" ht="61.9" customHeight="1" x14ac:dyDescent="0.2">
      <c r="A35" s="29">
        <v>46219</v>
      </c>
      <c r="B35" s="27">
        <v>8</v>
      </c>
      <c r="C35" s="27">
        <v>8</v>
      </c>
      <c r="D35" s="27">
        <v>11</v>
      </c>
      <c r="E35" s="27">
        <f t="shared" si="1"/>
        <v>3131</v>
      </c>
      <c r="F35" s="27"/>
      <c r="G35" s="27">
        <v>9</v>
      </c>
      <c r="H35" s="27"/>
      <c r="I35" s="28">
        <v>1550</v>
      </c>
      <c r="J35" s="28">
        <f>G35*I35</f>
        <v>13950</v>
      </c>
      <c r="K35" s="27"/>
      <c r="L35" s="28"/>
      <c r="M35" s="27"/>
      <c r="N35" s="28"/>
      <c r="O35" s="27"/>
      <c r="P35" s="28"/>
      <c r="Q35" s="27"/>
      <c r="R35" s="28"/>
      <c r="S35" s="27" t="s">
        <v>118</v>
      </c>
      <c r="T35" s="28">
        <f>350*3</f>
        <v>1050</v>
      </c>
      <c r="U35" s="27" t="s">
        <v>119</v>
      </c>
      <c r="V35" s="28">
        <f>130*2</f>
        <v>260</v>
      </c>
      <c r="W35" s="27"/>
      <c r="X35" s="28"/>
      <c r="Y35" s="27"/>
      <c r="Z35" s="28"/>
      <c r="AA35" s="28">
        <f>T35+V35</f>
        <v>1310</v>
      </c>
      <c r="AB35" s="28">
        <f t="shared" si="3"/>
        <v>21645</v>
      </c>
      <c r="AC35" s="35">
        <f t="shared" si="4"/>
        <v>20335</v>
      </c>
    </row>
    <row r="36" spans="1:29" ht="42.6" customHeight="1" x14ac:dyDescent="0.2">
      <c r="A36" s="29">
        <v>46220</v>
      </c>
      <c r="B36" s="27">
        <v>8</v>
      </c>
      <c r="C36" s="27">
        <v>5</v>
      </c>
      <c r="D36" s="27">
        <v>5</v>
      </c>
      <c r="E36" s="27">
        <f t="shared" si="1"/>
        <v>3035</v>
      </c>
      <c r="F36" s="27"/>
      <c r="G36" s="27">
        <v>0</v>
      </c>
      <c r="H36" s="27"/>
      <c r="I36" s="28">
        <v>1550</v>
      </c>
      <c r="J36" s="28">
        <f>G36*I36</f>
        <v>0</v>
      </c>
      <c r="K36" s="27"/>
      <c r="L36" s="28"/>
      <c r="M36" s="27"/>
      <c r="N36" s="28"/>
      <c r="O36" s="27"/>
      <c r="P36" s="28"/>
      <c r="Q36" s="27"/>
      <c r="R36" s="28"/>
      <c r="S36" s="27"/>
      <c r="T36" s="28"/>
      <c r="U36" s="27"/>
      <c r="V36" s="28"/>
      <c r="W36" s="27"/>
      <c r="X36" s="28"/>
      <c r="Y36" s="27"/>
      <c r="Z36" s="28"/>
      <c r="AA36" s="28">
        <v>0</v>
      </c>
      <c r="AB36" s="28">
        <f t="shared" si="3"/>
        <v>20335</v>
      </c>
      <c r="AC36" s="35">
        <f t="shared" si="4"/>
        <v>20335</v>
      </c>
    </row>
    <row r="37" spans="1:29" ht="97.15" customHeight="1" x14ac:dyDescent="0.2">
      <c r="A37" s="29">
        <v>46221</v>
      </c>
      <c r="B37" s="27">
        <v>8</v>
      </c>
      <c r="C37" s="27">
        <v>6</v>
      </c>
      <c r="D37" s="27">
        <v>13</v>
      </c>
      <c r="E37" s="27">
        <f t="shared" si="1"/>
        <v>3073</v>
      </c>
      <c r="F37" s="27"/>
      <c r="G37" s="27">
        <v>5</v>
      </c>
      <c r="H37" s="27"/>
      <c r="I37" s="28">
        <v>1550</v>
      </c>
      <c r="J37" s="28">
        <f>G37*I37</f>
        <v>7750</v>
      </c>
      <c r="K37" s="27"/>
      <c r="L37" s="28"/>
      <c r="M37" s="27"/>
      <c r="N37" s="28"/>
      <c r="O37" s="27" t="s">
        <v>84</v>
      </c>
      <c r="P37" s="28">
        <v>200</v>
      </c>
      <c r="Q37" s="27"/>
      <c r="R37" s="28"/>
      <c r="S37" s="27"/>
      <c r="T37" s="28"/>
      <c r="U37" s="27"/>
      <c r="V37" s="28"/>
      <c r="W37" s="27"/>
      <c r="X37" s="28"/>
      <c r="Y37" s="27" t="s">
        <v>120</v>
      </c>
      <c r="Z37" s="28">
        <f>1000+2500+500+500+300+100</f>
        <v>4900</v>
      </c>
      <c r="AA37" s="28">
        <f>Z37+P37</f>
        <v>5100</v>
      </c>
      <c r="AB37" s="28">
        <f t="shared" si="3"/>
        <v>28085</v>
      </c>
      <c r="AC37" s="35">
        <f t="shared" si="4"/>
        <v>22985</v>
      </c>
    </row>
    <row r="38" spans="1:29" ht="46.9" customHeight="1" x14ac:dyDescent="0.2">
      <c r="A38" s="29">
        <v>46222</v>
      </c>
      <c r="B38" s="27">
        <v>8</v>
      </c>
      <c r="C38" s="27">
        <v>5</v>
      </c>
      <c r="D38" s="27">
        <v>4</v>
      </c>
      <c r="E38" s="27">
        <f t="shared" si="1"/>
        <v>3034</v>
      </c>
      <c r="F38" s="27"/>
      <c r="G38" s="27">
        <v>4</v>
      </c>
      <c r="H38" s="27"/>
      <c r="I38" s="28">
        <v>1550</v>
      </c>
      <c r="J38" s="28">
        <f>G38*I38</f>
        <v>6200</v>
      </c>
      <c r="K38" s="27" t="s">
        <v>77</v>
      </c>
      <c r="L38" s="28">
        <v>300</v>
      </c>
      <c r="M38" s="27"/>
      <c r="N38" s="28"/>
      <c r="O38" s="27"/>
      <c r="P38" s="28"/>
      <c r="Q38" s="27"/>
      <c r="R38" s="28"/>
      <c r="S38" s="27" t="s">
        <v>118</v>
      </c>
      <c r="T38" s="28">
        <f>350*3</f>
        <v>1050</v>
      </c>
      <c r="U38" s="27"/>
      <c r="V38" s="28"/>
      <c r="W38" s="27"/>
      <c r="X38" s="28"/>
      <c r="Y38" s="27"/>
      <c r="Z38" s="28"/>
      <c r="AA38" s="28">
        <f>T38+L38</f>
        <v>1350</v>
      </c>
      <c r="AB38" s="28">
        <f t="shared" si="3"/>
        <v>29185</v>
      </c>
      <c r="AC38" s="35">
        <f t="shared" si="4"/>
        <v>27835</v>
      </c>
    </row>
    <row r="39" spans="1:29" ht="76.900000000000006" customHeight="1" x14ac:dyDescent="0.2">
      <c r="A39" s="29">
        <v>46223</v>
      </c>
      <c r="B39" s="27">
        <v>8</v>
      </c>
      <c r="C39" s="27">
        <v>4</v>
      </c>
      <c r="D39" s="27">
        <v>23</v>
      </c>
      <c r="E39" s="27">
        <f t="shared" si="1"/>
        <v>3023</v>
      </c>
      <c r="F39" s="27"/>
      <c r="G39" s="27">
        <v>0</v>
      </c>
      <c r="H39" s="27"/>
      <c r="I39" s="28">
        <v>1550</v>
      </c>
      <c r="J39" s="28">
        <v>0</v>
      </c>
      <c r="K39" s="27" t="s">
        <v>121</v>
      </c>
      <c r="L39" s="28">
        <f>1400*4</f>
        <v>5600</v>
      </c>
      <c r="M39" s="27"/>
      <c r="N39" s="28"/>
      <c r="O39" s="27"/>
      <c r="P39" s="28"/>
      <c r="Q39" s="27" t="s">
        <v>122</v>
      </c>
      <c r="R39" s="28">
        <v>200</v>
      </c>
      <c r="S39" s="27"/>
      <c r="T39" s="28"/>
      <c r="U39" s="27" t="s">
        <v>123</v>
      </c>
      <c r="V39" s="28">
        <f>175+66</f>
        <v>241</v>
      </c>
      <c r="W39" s="27"/>
      <c r="X39" s="28"/>
      <c r="Y39" s="27" t="s">
        <v>124</v>
      </c>
      <c r="Z39" s="28">
        <f>3000+4000</f>
        <v>7000</v>
      </c>
      <c r="AA39" s="28">
        <f>Z39+V39+R39+L39</f>
        <v>13041</v>
      </c>
      <c r="AB39" s="28">
        <f t="shared" si="3"/>
        <v>27835</v>
      </c>
      <c r="AC39" s="35">
        <f t="shared" si="4"/>
        <v>14794</v>
      </c>
    </row>
    <row r="40" spans="1:29" ht="30" x14ac:dyDescent="0.2">
      <c r="A40" s="29">
        <v>46224</v>
      </c>
      <c r="B40" s="27">
        <v>8</v>
      </c>
      <c r="C40" s="27">
        <v>2</v>
      </c>
      <c r="D40" s="27">
        <v>29</v>
      </c>
      <c r="E40" s="27">
        <f t="shared" si="1"/>
        <v>2969</v>
      </c>
      <c r="F40" s="27"/>
      <c r="G40" s="27">
        <v>0</v>
      </c>
      <c r="H40" s="27"/>
      <c r="I40" s="28">
        <v>1550</v>
      </c>
      <c r="J40" s="28">
        <v>0</v>
      </c>
      <c r="K40" s="27"/>
      <c r="L40" s="28"/>
      <c r="M40" s="27"/>
      <c r="N40" s="28"/>
      <c r="O40" s="27"/>
      <c r="P40" s="28"/>
      <c r="Q40" s="27"/>
      <c r="R40" s="28"/>
      <c r="S40" s="27" t="s">
        <v>125</v>
      </c>
      <c r="T40" s="28">
        <f>(20*24)+(350*3)</f>
        <v>1530</v>
      </c>
      <c r="U40" s="27"/>
      <c r="V40" s="28"/>
      <c r="W40" s="27"/>
      <c r="X40" s="28"/>
      <c r="Y40" s="27"/>
      <c r="Z40" s="28"/>
      <c r="AA40" s="28">
        <v>1530</v>
      </c>
      <c r="AB40" s="28">
        <f t="shared" si="3"/>
        <v>14794</v>
      </c>
      <c r="AC40" s="35">
        <f t="shared" si="4"/>
        <v>13264</v>
      </c>
    </row>
    <row r="41" spans="1:29" ht="45" x14ac:dyDescent="0.2">
      <c r="A41" s="40">
        <v>46225</v>
      </c>
      <c r="B41" s="34">
        <v>8</v>
      </c>
      <c r="C41" s="34">
        <v>2</v>
      </c>
      <c r="D41" s="34">
        <v>0</v>
      </c>
      <c r="E41" s="34">
        <f t="shared" si="1"/>
        <v>2940</v>
      </c>
      <c r="F41" s="34"/>
      <c r="G41" s="34">
        <v>4</v>
      </c>
      <c r="H41" s="34"/>
      <c r="I41" s="35">
        <v>1550</v>
      </c>
      <c r="J41" s="35">
        <f>G41*I41</f>
        <v>6200</v>
      </c>
      <c r="K41" s="34" t="s">
        <v>126</v>
      </c>
      <c r="L41" s="35">
        <f>1450*12</f>
        <v>17400</v>
      </c>
      <c r="M41" s="34"/>
      <c r="N41" s="35"/>
      <c r="O41" s="34"/>
      <c r="P41" s="35"/>
      <c r="Q41" s="34" t="s">
        <v>127</v>
      </c>
      <c r="R41" s="35">
        <f>2*200</f>
        <v>400</v>
      </c>
      <c r="S41" s="34"/>
      <c r="T41" s="35"/>
      <c r="U41" s="34" t="s">
        <v>128</v>
      </c>
      <c r="V41" s="35">
        <v>66</v>
      </c>
      <c r="W41" s="34"/>
      <c r="X41" s="35"/>
      <c r="Y41" s="34" t="s">
        <v>129</v>
      </c>
      <c r="Z41" s="35">
        <v>1500</v>
      </c>
      <c r="AA41" s="35">
        <f>Z41+V41+R41+L41</f>
        <v>19366</v>
      </c>
      <c r="AB41" s="35">
        <f t="shared" si="3"/>
        <v>19464</v>
      </c>
      <c r="AC41" s="35">
        <f t="shared" si="4"/>
        <v>98</v>
      </c>
    </row>
    <row r="42" spans="1:29" x14ac:dyDescent="0.2">
      <c r="A42" s="29">
        <v>46226</v>
      </c>
      <c r="B42" s="36"/>
      <c r="C42" s="36"/>
      <c r="D42" s="36"/>
      <c r="E42" s="36"/>
      <c r="F42" s="36"/>
      <c r="G42" s="36"/>
      <c r="H42" s="36"/>
      <c r="I42" s="28">
        <v>1550</v>
      </c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  <row r="43" spans="1:29" x14ac:dyDescent="0.2">
      <c r="A43" s="29">
        <v>46227</v>
      </c>
      <c r="B43" s="27"/>
      <c r="C43" s="27"/>
      <c r="D43" s="27"/>
      <c r="E43" s="27"/>
      <c r="F43" s="27"/>
      <c r="G43" s="27"/>
      <c r="H43" s="27"/>
      <c r="I43" s="28">
        <v>1550</v>
      </c>
      <c r="J43" s="27"/>
      <c r="K43" s="27"/>
      <c r="L43" s="28"/>
      <c r="M43" s="27"/>
      <c r="N43" s="28"/>
      <c r="O43" s="27"/>
      <c r="P43" s="28"/>
      <c r="Q43" s="27"/>
      <c r="R43" s="28"/>
      <c r="S43" s="27"/>
      <c r="T43" s="28"/>
      <c r="U43" s="27"/>
      <c r="V43" s="28"/>
      <c r="W43" s="27"/>
      <c r="X43" s="28"/>
      <c r="Y43" s="27"/>
      <c r="Z43" s="28"/>
      <c r="AA43" s="28"/>
      <c r="AB43" s="28"/>
      <c r="AC43" s="28"/>
    </row>
    <row r="44" spans="1:29" x14ac:dyDescent="0.2">
      <c r="A44" s="29">
        <v>46228</v>
      </c>
      <c r="B44" s="36"/>
      <c r="C44" s="36"/>
      <c r="D44" s="36"/>
      <c r="E44" s="36"/>
      <c r="F44" s="36"/>
      <c r="G44" s="36"/>
      <c r="H44" s="36"/>
      <c r="I44" s="28">
        <v>1550</v>
      </c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 spans="1:29" x14ac:dyDescent="0.2">
      <c r="A45" s="29">
        <v>46229</v>
      </c>
      <c r="B45" s="27"/>
      <c r="C45" s="27"/>
      <c r="D45" s="27"/>
      <c r="E45" s="27"/>
      <c r="F45" s="27"/>
      <c r="G45" s="27"/>
      <c r="H45" s="27"/>
      <c r="I45" s="28">
        <v>1550</v>
      </c>
      <c r="J45" s="27"/>
      <c r="K45" s="27"/>
      <c r="L45" s="28"/>
      <c r="M45" s="27"/>
      <c r="N45" s="28"/>
      <c r="O45" s="27"/>
      <c r="P45" s="28"/>
      <c r="Q45" s="27"/>
      <c r="R45" s="28"/>
      <c r="S45" s="27"/>
      <c r="T45" s="28"/>
      <c r="U45" s="27"/>
      <c r="V45" s="28"/>
      <c r="W45" s="27"/>
      <c r="X45" s="28"/>
      <c r="Y45" s="27"/>
      <c r="Z45" s="28"/>
      <c r="AA45" s="28"/>
      <c r="AB45" s="28"/>
      <c r="AC45" s="28"/>
    </row>
    <row r="46" spans="1:29" x14ac:dyDescent="0.2">
      <c r="A46" s="29">
        <v>46230</v>
      </c>
      <c r="B46" s="36"/>
      <c r="C46" s="36"/>
      <c r="D46" s="36"/>
      <c r="E46" s="36"/>
      <c r="F46" s="36"/>
      <c r="G46" s="36"/>
      <c r="H46" s="36"/>
      <c r="I46" s="28">
        <v>1550</v>
      </c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</row>
    <row r="47" spans="1:29" x14ac:dyDescent="0.2">
      <c r="A47" s="29">
        <v>46231</v>
      </c>
      <c r="B47" s="27"/>
      <c r="C47" s="27"/>
      <c r="D47" s="27"/>
      <c r="E47" s="27"/>
      <c r="F47" s="27"/>
      <c r="G47" s="27"/>
      <c r="H47" s="27"/>
      <c r="I47" s="28">
        <v>1550</v>
      </c>
      <c r="J47" s="27"/>
      <c r="K47" s="27"/>
      <c r="L47" s="28"/>
      <c r="M47" s="27"/>
      <c r="N47" s="28"/>
      <c r="O47" s="27"/>
      <c r="P47" s="28"/>
      <c r="Q47" s="27"/>
      <c r="R47" s="28"/>
      <c r="S47" s="27"/>
      <c r="T47" s="28"/>
      <c r="U47" s="27"/>
      <c r="V47" s="28"/>
      <c r="W47" s="27"/>
      <c r="X47" s="28"/>
      <c r="Y47" s="27"/>
      <c r="Z47" s="28"/>
      <c r="AA47" s="28"/>
      <c r="AB47" s="28"/>
      <c r="AC47" s="28"/>
    </row>
    <row r="48" spans="1:29" x14ac:dyDescent="0.2">
      <c r="A48" s="29">
        <v>46232</v>
      </c>
      <c r="B48" s="36"/>
      <c r="C48" s="36"/>
      <c r="D48" s="36"/>
      <c r="E48" s="36"/>
      <c r="F48" s="36"/>
      <c r="G48" s="36"/>
      <c r="H48" s="36"/>
      <c r="I48" s="28">
        <v>1550</v>
      </c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 spans="1:29" x14ac:dyDescent="0.2">
      <c r="A49" s="29">
        <v>46233</v>
      </c>
      <c r="B49" s="27"/>
      <c r="C49" s="27"/>
      <c r="D49" s="27"/>
      <c r="E49" s="27"/>
      <c r="F49" s="27"/>
      <c r="G49" s="27"/>
      <c r="H49" s="27"/>
      <c r="I49" s="28">
        <v>1550</v>
      </c>
      <c r="J49" s="27"/>
      <c r="K49" s="27"/>
      <c r="L49" s="28"/>
      <c r="M49" s="27"/>
      <c r="N49" s="28"/>
      <c r="O49" s="27"/>
      <c r="P49" s="28"/>
      <c r="Q49" s="27"/>
      <c r="R49" s="28"/>
      <c r="S49" s="27"/>
      <c r="T49" s="28"/>
      <c r="U49" s="27"/>
      <c r="V49" s="28"/>
      <c r="W49" s="27"/>
      <c r="X49" s="28"/>
      <c r="Y49" s="27"/>
      <c r="Z49" s="28"/>
      <c r="AA49" s="28"/>
      <c r="AB49" s="28"/>
      <c r="AC49" s="28"/>
    </row>
    <row r="50" spans="1:29" x14ac:dyDescent="0.2">
      <c r="A50" s="29">
        <v>46234</v>
      </c>
      <c r="B50" s="36"/>
      <c r="C50" s="36"/>
      <c r="D50" s="36"/>
      <c r="E50" s="36"/>
      <c r="F50" s="36"/>
      <c r="G50" s="36"/>
      <c r="H50" s="36"/>
      <c r="I50" s="28">
        <v>1550</v>
      </c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</sheetData>
  <mergeCells count="24">
    <mergeCell ref="AC3:AC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P3:P4"/>
    <mergeCell ref="A3:A4"/>
    <mergeCell ref="B3:E3"/>
    <mergeCell ref="F3:F4"/>
    <mergeCell ref="H3:H4"/>
    <mergeCell ref="I3:I4"/>
    <mergeCell ref="J3:J4"/>
    <mergeCell ref="K3:K4"/>
    <mergeCell ref="L3:L4"/>
    <mergeCell ref="M3:M4"/>
    <mergeCell ref="N3:N4"/>
    <mergeCell ref="O3:O4"/>
  </mergeCells>
  <pageMargins left="0.70866141732283472" right="0.70866141732283472" top="0.74803149606299213" bottom="0.74803149606299213" header="0.31496062992125984" footer="0.31496062992125984"/>
  <pageSetup paperSize="5" scale="28" fitToWidth="2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6ABB-77E5-42D8-833A-CAFC6CD23C28}">
  <dimension ref="B2:I9"/>
  <sheetViews>
    <sheetView workbookViewId="0">
      <selection activeCell="F15" sqref="F15"/>
    </sheetView>
  </sheetViews>
  <sheetFormatPr defaultRowHeight="15" x14ac:dyDescent="0.2"/>
  <cols>
    <col min="2" max="2" width="10.4921875" bestFit="1" customWidth="1"/>
    <col min="3" max="3" width="10.22265625" customWidth="1"/>
    <col min="5" max="5" width="9.81640625" customWidth="1"/>
    <col min="6" max="6" width="9.14453125" customWidth="1"/>
  </cols>
  <sheetData>
    <row r="2" spans="2:9" x14ac:dyDescent="0.2">
      <c r="C2" s="60" t="s">
        <v>22</v>
      </c>
      <c r="D2" s="60"/>
      <c r="E2" s="60"/>
      <c r="F2" s="60"/>
      <c r="G2" s="60"/>
      <c r="H2" s="60"/>
      <c r="I2" s="60"/>
    </row>
    <row r="3" spans="2:9" x14ac:dyDescent="0.2">
      <c r="B3" t="s">
        <v>18</v>
      </c>
      <c r="C3" s="60" t="s">
        <v>19</v>
      </c>
      <c r="D3" s="60"/>
      <c r="E3" s="60" t="s">
        <v>20</v>
      </c>
      <c r="F3" s="60"/>
      <c r="G3" t="s">
        <v>21</v>
      </c>
    </row>
    <row r="4" spans="2:9" x14ac:dyDescent="0.2">
      <c r="C4" t="s">
        <v>24</v>
      </c>
      <c r="D4" t="s">
        <v>23</v>
      </c>
      <c r="E4" t="s">
        <v>24</v>
      </c>
      <c r="F4" t="s">
        <v>23</v>
      </c>
    </row>
    <row r="5" spans="2:9" x14ac:dyDescent="0.2">
      <c r="B5" s="19">
        <v>46190</v>
      </c>
      <c r="C5">
        <v>4</v>
      </c>
      <c r="D5">
        <v>6</v>
      </c>
      <c r="E5" s="22">
        <v>1500</v>
      </c>
      <c r="F5" s="21">
        <v>125</v>
      </c>
      <c r="G5" s="22">
        <f>(C5*E5)+(D5*F5)</f>
        <v>6750</v>
      </c>
    </row>
    <row r="6" spans="2:9" x14ac:dyDescent="0.2">
      <c r="B6" s="19">
        <v>46191</v>
      </c>
      <c r="C6">
        <v>5</v>
      </c>
      <c r="D6">
        <v>0</v>
      </c>
      <c r="E6" s="22">
        <v>1500</v>
      </c>
      <c r="F6" s="21">
        <v>125</v>
      </c>
      <c r="G6" s="22">
        <f>(C6*E6)+(D6*F6)</f>
        <v>7500</v>
      </c>
    </row>
    <row r="7" spans="2:9" x14ac:dyDescent="0.2">
      <c r="B7" s="19">
        <v>46192</v>
      </c>
      <c r="C7">
        <v>9</v>
      </c>
      <c r="D7">
        <v>0</v>
      </c>
      <c r="E7" s="22">
        <v>1500</v>
      </c>
      <c r="F7" s="21">
        <v>125</v>
      </c>
      <c r="G7" s="22">
        <f>(C7*E7)+(D7*F7)</f>
        <v>13500</v>
      </c>
    </row>
    <row r="8" spans="2:9" x14ac:dyDescent="0.2">
      <c r="B8" s="19">
        <v>46193</v>
      </c>
      <c r="C8">
        <v>5</v>
      </c>
      <c r="D8">
        <v>0</v>
      </c>
      <c r="E8" s="22">
        <v>1500</v>
      </c>
      <c r="F8" s="21">
        <v>125</v>
      </c>
      <c r="G8" s="22">
        <f>(C8*E8)+(D8*F8)</f>
        <v>7500</v>
      </c>
    </row>
    <row r="9" spans="2:9" x14ac:dyDescent="0.2">
      <c r="B9" s="19">
        <v>46194</v>
      </c>
      <c r="C9">
        <v>2</v>
      </c>
      <c r="D9">
        <v>0</v>
      </c>
      <c r="E9" s="22">
        <v>1500</v>
      </c>
      <c r="F9" s="21">
        <v>125</v>
      </c>
      <c r="G9" s="22">
        <f>(C9*E9)+(D9*F9)</f>
        <v>3000</v>
      </c>
    </row>
  </sheetData>
  <mergeCells count="4">
    <mergeCell ref="C3:D3"/>
    <mergeCell ref="E3:F3"/>
    <mergeCell ref="H2:I2"/>
    <mergeCell ref="C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0139-8126-4758-A9DD-DFC34CB84BC0}">
  <dimension ref="A2:F37"/>
  <sheetViews>
    <sheetView topLeftCell="A20" workbookViewId="0">
      <selection activeCell="F38" sqref="F38"/>
    </sheetView>
  </sheetViews>
  <sheetFormatPr defaultRowHeight="15" x14ac:dyDescent="0.2"/>
  <cols>
    <col min="1" max="1" width="10.4921875" bestFit="1" customWidth="1"/>
    <col min="3" max="3" width="13.046875" customWidth="1"/>
  </cols>
  <sheetData>
    <row r="2" spans="1:6" x14ac:dyDescent="0.2">
      <c r="B2" s="60" t="s">
        <v>25</v>
      </c>
      <c r="C2" s="60"/>
      <c r="D2" s="60"/>
      <c r="E2" s="60"/>
      <c r="F2" s="60"/>
    </row>
    <row r="3" spans="1:6" x14ac:dyDescent="0.2">
      <c r="B3" t="s">
        <v>28</v>
      </c>
      <c r="C3" t="s">
        <v>26</v>
      </c>
      <c r="D3" t="s">
        <v>29</v>
      </c>
      <c r="E3" t="s">
        <v>27</v>
      </c>
      <c r="F3" t="s">
        <v>17</v>
      </c>
    </row>
    <row r="4" spans="1:6" x14ac:dyDescent="0.2">
      <c r="B4" s="23">
        <v>1</v>
      </c>
      <c r="C4" s="23" t="s">
        <v>30</v>
      </c>
      <c r="D4" s="23">
        <v>8</v>
      </c>
      <c r="E4" s="22">
        <v>1400</v>
      </c>
      <c r="F4" s="22">
        <f>D4*E4</f>
        <v>11200</v>
      </c>
    </row>
    <row r="5" spans="1:6" ht="27.75" x14ac:dyDescent="0.2">
      <c r="B5">
        <v>2</v>
      </c>
      <c r="C5" s="23" t="s">
        <v>31</v>
      </c>
      <c r="F5" s="22">
        <v>200</v>
      </c>
    </row>
    <row r="6" spans="1:6" x14ac:dyDescent="0.2">
      <c r="B6">
        <v>3</v>
      </c>
      <c r="C6" t="s">
        <v>32</v>
      </c>
      <c r="F6" s="22">
        <v>100</v>
      </c>
    </row>
    <row r="7" spans="1:6" ht="41.25" x14ac:dyDescent="0.2">
      <c r="B7">
        <v>4</v>
      </c>
      <c r="C7" s="23" t="s">
        <v>33</v>
      </c>
      <c r="F7" s="22">
        <v>70</v>
      </c>
    </row>
    <row r="8" spans="1:6" ht="27.75" x14ac:dyDescent="0.2">
      <c r="B8">
        <v>5</v>
      </c>
      <c r="C8" s="23" t="s">
        <v>34</v>
      </c>
      <c r="D8">
        <v>3</v>
      </c>
      <c r="E8" s="22">
        <v>1500</v>
      </c>
      <c r="F8" s="22">
        <f>D8*E8</f>
        <v>4500</v>
      </c>
    </row>
    <row r="9" spans="1:6" x14ac:dyDescent="0.2">
      <c r="A9" s="19">
        <v>46193</v>
      </c>
    </row>
    <row r="10" spans="1:6" ht="27.75" x14ac:dyDescent="0.2">
      <c r="B10">
        <v>6</v>
      </c>
      <c r="C10" s="24" t="s">
        <v>35</v>
      </c>
      <c r="D10" s="25"/>
      <c r="E10" s="25"/>
      <c r="F10" s="26">
        <v>14000</v>
      </c>
    </row>
    <row r="11" spans="1:6" x14ac:dyDescent="0.2">
      <c r="B11">
        <v>7</v>
      </c>
      <c r="C11" s="23" t="s">
        <v>36</v>
      </c>
      <c r="F11" s="22">
        <v>280</v>
      </c>
    </row>
    <row r="12" spans="1:6" x14ac:dyDescent="0.2">
      <c r="B12">
        <v>8</v>
      </c>
      <c r="C12" s="23" t="s">
        <v>37</v>
      </c>
      <c r="F12" s="22">
        <v>350</v>
      </c>
    </row>
    <row r="13" spans="1:6" ht="27.75" x14ac:dyDescent="0.2">
      <c r="B13">
        <v>9</v>
      </c>
      <c r="C13" s="23" t="s">
        <v>38</v>
      </c>
      <c r="F13" s="20">
        <v>1500</v>
      </c>
    </row>
    <row r="14" spans="1:6" x14ac:dyDescent="0.2">
      <c r="B14">
        <v>10</v>
      </c>
      <c r="C14" s="23" t="s">
        <v>39</v>
      </c>
      <c r="D14">
        <v>6</v>
      </c>
      <c r="F14">
        <v>720</v>
      </c>
    </row>
    <row r="15" spans="1:6" x14ac:dyDescent="0.2">
      <c r="B15">
        <v>11</v>
      </c>
      <c r="C15" s="23" t="s">
        <v>40</v>
      </c>
      <c r="F15" s="20">
        <v>1000</v>
      </c>
    </row>
    <row r="16" spans="1:6" ht="27.75" x14ac:dyDescent="0.2">
      <c r="B16">
        <v>12</v>
      </c>
      <c r="C16" s="23" t="s">
        <v>41</v>
      </c>
      <c r="F16">
        <v>150</v>
      </c>
    </row>
    <row r="17" spans="1:6" x14ac:dyDescent="0.2">
      <c r="A17" s="19">
        <v>46194</v>
      </c>
    </row>
    <row r="18" spans="1:6" ht="27.75" x14ac:dyDescent="0.2">
      <c r="B18">
        <v>13</v>
      </c>
      <c r="C18" s="23" t="s">
        <v>42</v>
      </c>
      <c r="F18" s="20">
        <v>3000</v>
      </c>
    </row>
    <row r="19" spans="1:6" x14ac:dyDescent="0.2">
      <c r="B19">
        <v>14</v>
      </c>
      <c r="C19" s="23" t="s">
        <v>43</v>
      </c>
    </row>
    <row r="21" spans="1:6" x14ac:dyDescent="0.2">
      <c r="A21" s="19">
        <v>46200</v>
      </c>
      <c r="C21" s="23" t="s">
        <v>46</v>
      </c>
      <c r="F21" s="20">
        <v>5500</v>
      </c>
    </row>
    <row r="22" spans="1:6" ht="27.75" x14ac:dyDescent="0.2">
      <c r="C22" s="23" t="s">
        <v>47</v>
      </c>
      <c r="F22" s="20">
        <v>3500</v>
      </c>
    </row>
    <row r="23" spans="1:6" x14ac:dyDescent="0.2">
      <c r="C23" s="23" t="s">
        <v>48</v>
      </c>
      <c r="F23" s="20">
        <v>6350</v>
      </c>
    </row>
    <row r="24" spans="1:6" x14ac:dyDescent="0.2">
      <c r="C24" s="23" t="s">
        <v>49</v>
      </c>
      <c r="D24">
        <v>2</v>
      </c>
      <c r="E24">
        <v>300</v>
      </c>
      <c r="F24">
        <f>E24*D24</f>
        <v>600</v>
      </c>
    </row>
    <row r="25" spans="1:6" ht="27.75" x14ac:dyDescent="0.2">
      <c r="C25" s="23" t="s">
        <v>50</v>
      </c>
      <c r="F25" s="20">
        <v>500</v>
      </c>
    </row>
    <row r="26" spans="1:6" x14ac:dyDescent="0.2">
      <c r="C26" s="23" t="s">
        <v>51</v>
      </c>
      <c r="F26" s="20">
        <v>3000</v>
      </c>
    </row>
    <row r="27" spans="1:6" x14ac:dyDescent="0.2">
      <c r="C27" s="23" t="s">
        <v>52</v>
      </c>
      <c r="F27" s="20">
        <v>400</v>
      </c>
    </row>
    <row r="29" spans="1:6" x14ac:dyDescent="0.2">
      <c r="C29" s="23" t="s">
        <v>53</v>
      </c>
      <c r="F29" s="20">
        <v>26020</v>
      </c>
    </row>
    <row r="31" spans="1:6" x14ac:dyDescent="0.2">
      <c r="A31" s="19">
        <v>46216</v>
      </c>
      <c r="C31" s="23" t="s">
        <v>54</v>
      </c>
      <c r="F31" s="20">
        <v>1000</v>
      </c>
    </row>
    <row r="32" spans="1:6" x14ac:dyDescent="0.2">
      <c r="C32" t="s">
        <v>37</v>
      </c>
      <c r="D32">
        <v>3</v>
      </c>
      <c r="E32">
        <v>350</v>
      </c>
      <c r="F32" s="20">
        <v>1050</v>
      </c>
    </row>
    <row r="34" spans="1:6" x14ac:dyDescent="0.2">
      <c r="C34" t="s">
        <v>53</v>
      </c>
      <c r="F34" s="20">
        <v>13300</v>
      </c>
    </row>
    <row r="35" spans="1:6" x14ac:dyDescent="0.2">
      <c r="A35" s="19">
        <v>46217</v>
      </c>
      <c r="C35" t="s">
        <v>55</v>
      </c>
      <c r="D35">
        <v>7</v>
      </c>
      <c r="E35">
        <v>1550</v>
      </c>
      <c r="F35">
        <f>D35*E35</f>
        <v>10850</v>
      </c>
    </row>
    <row r="36" spans="1:6" x14ac:dyDescent="0.2">
      <c r="C36" t="s">
        <v>56</v>
      </c>
      <c r="F36" s="20">
        <v>1500</v>
      </c>
    </row>
    <row r="37" spans="1:6" x14ac:dyDescent="0.2">
      <c r="C37" t="s">
        <v>36</v>
      </c>
      <c r="F37">
        <v>300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Egg Report</vt:lpstr>
      <vt:lpstr>Sheet1</vt:lpstr>
      <vt:lpstr>Sheet2</vt:lpstr>
      <vt:lpstr>Expenditure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Jospeh Sam</cp:lastModifiedBy>
  <cp:lastPrinted>2026-07-23T14:15:46Z</cp:lastPrinted>
  <dcterms:created xsi:type="dcterms:W3CDTF">2026-06-19T15:44:59Z</dcterms:created>
  <dcterms:modified xsi:type="dcterms:W3CDTF">2026-07-23T14:16:23Z</dcterms:modified>
</cp:coreProperties>
</file>